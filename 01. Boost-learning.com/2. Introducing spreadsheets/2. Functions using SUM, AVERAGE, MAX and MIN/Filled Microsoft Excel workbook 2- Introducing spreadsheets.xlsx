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026"/>
  <workbookPr defaultThemeVersion="166925"/>
  <mc:AlternateContent xmlns:mc="http://schemas.openxmlformats.org/markup-compatibility/2006">
    <mc:Choice Requires="x15">
      <x15ac:absPath xmlns:x15ac="http://schemas.microsoft.com/office/spreadsheetml/2010/11/ac" url="C:\BGA\Grade 6\Unit 3 - Introducing spreadsheets\2. Functions using SUM, AVERAGE, MAX and MIN\"/>
    </mc:Choice>
  </mc:AlternateContent>
  <xr:revisionPtr revIDLastSave="0" documentId="13_ncr:1_{FF7A4E2A-4A0C-4DC4-ACA3-149B89FD6E3D}" xr6:coauthVersionLast="45" xr6:coauthVersionMax="46" xr10:uidLastSave="{00000000-0000-0000-0000-000000000000}"/>
  <bookViews>
    <workbookView xWindow="-110" yWindow="-110" windowWidth="19420" windowHeight="10300" activeTab="6" xr2:uid="{C1B25E5A-252D-3343-B4CE-2FBD248054DE}"/>
  </bookViews>
  <sheets>
    <sheet name="Activity 2.1" sheetId="6" r:id="rId1"/>
    <sheet name="Activity 2.2" sheetId="7" r:id="rId2"/>
    <sheet name="Activity 2.3" sheetId="8" r:id="rId3"/>
    <sheet name="Activity 2.4" sheetId="2" r:id="rId4"/>
    <sheet name="Activity 2.5" sheetId="4" r:id="rId5"/>
    <sheet name="Activity 2.6" sheetId="3" r:id="rId6"/>
    <sheet name="Activity 2.7" sheetId="5"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C36" i="5" l="1"/>
  <c r="C34" i="5"/>
  <c r="C28" i="5"/>
  <c r="C29" i="5"/>
  <c r="C30" i="5"/>
  <c r="C31" i="5"/>
  <c r="C32" i="5"/>
  <c r="C33" i="5"/>
  <c r="C27" i="5"/>
  <c r="F30" i="3"/>
  <c r="F28" i="3"/>
  <c r="F26" i="3"/>
  <c r="E20" i="3"/>
  <c r="E12" i="3"/>
  <c r="E13" i="3" s="1"/>
  <c r="E14" i="3" s="1"/>
  <c r="E15" i="3" s="1"/>
  <c r="E16" i="3" s="1"/>
  <c r="E17" i="3" s="1"/>
  <c r="E18" i="3" s="1"/>
  <c r="E19" i="3" s="1"/>
  <c r="E11" i="3"/>
  <c r="D20" i="3"/>
  <c r="D12" i="3"/>
  <c r="D13" i="3" s="1"/>
  <c r="D14" i="3" s="1"/>
  <c r="D15" i="3" s="1"/>
  <c r="D16" i="3" s="1"/>
  <c r="D17" i="3" s="1"/>
  <c r="D18" i="3" s="1"/>
  <c r="D19" i="3" s="1"/>
  <c r="D11" i="3"/>
  <c r="C20" i="3"/>
  <c r="C12" i="3"/>
  <c r="C13" i="3" s="1"/>
  <c r="C14" i="3" s="1"/>
  <c r="C15" i="3" s="1"/>
  <c r="C16" i="3" s="1"/>
  <c r="C17" i="3" s="1"/>
  <c r="C18" i="3" s="1"/>
  <c r="C19" i="3" s="1"/>
  <c r="C11" i="3"/>
  <c r="B20" i="3"/>
  <c r="A15" i="2" l="1"/>
  <c r="A14" i="2"/>
  <c r="A13" i="2"/>
  <c r="A12" i="2"/>
  <c r="A11" i="2"/>
  <c r="A10" i="2"/>
  <c r="A9" i="2"/>
  <c r="A8" i="2"/>
  <c r="A7" i="2"/>
  <c r="A6" i="2"/>
</calcChain>
</file>

<file path=xl/sharedStrings.xml><?xml version="1.0" encoding="utf-8"?>
<sst xmlns="http://schemas.openxmlformats.org/spreadsheetml/2006/main" count="107" uniqueCount="100">
  <si>
    <t>TOTAL</t>
  </si>
  <si>
    <t>AVERAGE</t>
  </si>
  <si>
    <t>HIGHEST</t>
  </si>
  <si>
    <t>LOWEST</t>
  </si>
  <si>
    <t>Your parents have agreed to give you pocket money for the next 10 weeks.</t>
  </si>
  <si>
    <t>Complete the table below to work out how much money each option will give you.</t>
  </si>
  <si>
    <t>Week</t>
  </si>
  <si>
    <t>Option A</t>
  </si>
  <si>
    <t>Option B</t>
  </si>
  <si>
    <t>Option C</t>
  </si>
  <si>
    <t>Option D</t>
  </si>
  <si>
    <t>Receive £5 per week for 10 weeks.</t>
  </si>
  <si>
    <t>Receive £1 in week 1, but get an extra pound each week.</t>
  </si>
  <si>
    <t>Receive £5 in week 1, but get an extra 10p each week.</t>
  </si>
  <si>
    <t>Total</t>
  </si>
  <si>
    <t>How much pocket money will the worst option be worth? </t>
  </si>
  <si>
    <t>How much pocket money will the best option be worth? </t>
  </si>
  <si>
    <t>Receive £3 in week 1, but get an extra 50p each week.</t>
  </si>
  <si>
    <t>Write formulae in the shaded cells in column F to work out the answers to the following questions:</t>
  </si>
  <si>
    <t>Friday</t>
  </si>
  <si>
    <t>Saturday</t>
  </si>
  <si>
    <t>Sunday</t>
  </si>
  <si>
    <t>Monday</t>
  </si>
  <si>
    <t>Tuesday</t>
  </si>
  <si>
    <t>Wednesday</t>
  </si>
  <si>
    <t>Thursday</t>
  </si>
  <si>
    <t>The table below shows the weekly ticket sales for various films at a cinema.</t>
  </si>
  <si>
    <t>Film</t>
  </si>
  <si>
    <t>Write functions in column I to calculate the total weekly sales for each film.</t>
  </si>
  <si>
    <t>Make use of functions and cell references when calculating your answers.</t>
  </si>
  <si>
    <t>Item</t>
  </si>
  <si>
    <t>Price</t>
  </si>
  <si>
    <t>Butter</t>
  </si>
  <si>
    <t>Eggs</t>
  </si>
  <si>
    <t>3 Eggs</t>
  </si>
  <si>
    <t>Use cell referencing so that the totals will update if the prices change.</t>
  </si>
  <si>
    <t>Use the SUM function to add up the numbers in each row.</t>
  </si>
  <si>
    <t>Use the AVERAGE function to work out the average of the numbers in each row.</t>
  </si>
  <si>
    <t>Use the MIN function to find the smallest number in each row.</t>
  </si>
  <si>
    <t>Use the MAX function to find the largest number in each row.</t>
  </si>
  <si>
    <t>What was the largest amount of money taken by a film on any day?</t>
  </si>
  <si>
    <t>What was the smallest amount of money taken by a film on any day?</t>
  </si>
  <si>
    <t>Activity 2.1: Using SUM</t>
  </si>
  <si>
    <t>Activity 2.2: Using AVERAGE</t>
  </si>
  <si>
    <t>Activity 2.3: Using MAX and MIN</t>
  </si>
  <si>
    <t>Activity 2.4: Basic functions</t>
  </si>
  <si>
    <t>Activity 2.5: Cinema tickets</t>
  </si>
  <si>
    <t>Activity 2.7: Birthday cake</t>
  </si>
  <si>
    <t>They have offered you four different options and you must choose one.</t>
  </si>
  <si>
    <t>Ticket sales </t>
  </si>
  <si>
    <t>Total weekly ticket sales (£)</t>
  </si>
  <si>
    <t>Average ticket sales (£)</t>
  </si>
  <si>
    <t>Baking powder</t>
  </si>
  <si>
    <t>Strawberry jam (1 jar = 10 tbsp)</t>
  </si>
  <si>
    <t>Table salt</t>
  </si>
  <si>
    <t>Ingredients needed</t>
  </si>
  <si>
    <t>3 tbsp Strawberry jam</t>
  </si>
  <si>
    <t>Caster sugar</t>
  </si>
  <si>
    <t>Self-raising flour</t>
  </si>
  <si>
    <t>Strawberry jam</t>
  </si>
  <si>
    <t>Double cream</t>
  </si>
  <si>
    <t>Icing sugar</t>
  </si>
  <si>
    <t>Total cost</t>
  </si>
  <si>
    <t>Change due</t>
  </si>
  <si>
    <t>Eggs 12</t>
  </si>
  <si>
    <t>Cash given</t>
  </si>
  <si>
    <t>Activity 2.6: Pocket money</t>
  </si>
  <si>
    <t>Write functions in row 18 to calculate the average ticket sales each day.</t>
  </si>
  <si>
    <t>Harry Bond</t>
  </si>
  <si>
    <t>James Potter</t>
  </si>
  <si>
    <t>The Happy Princess</t>
  </si>
  <si>
    <t>Starship Wars</t>
  </si>
  <si>
    <t>Toy Tales</t>
  </si>
  <si>
    <t>Mission Possible</t>
  </si>
  <si>
    <t>Mr Pea</t>
  </si>
  <si>
    <t>Below is a list of ingredients and their cost at the local supermarket.</t>
  </si>
  <si>
    <t>Quantity</t>
  </si>
  <si>
    <t>Enter formulae in cells C27 to C33 to work out how much it will cost to purchase enough of each item.</t>
  </si>
  <si>
    <t>In cell C36, calculate how much change you will have from a £10 note.</t>
  </si>
  <si>
    <t>Complete column A to show how many of each item need to be purchased so that you have enough ingredients to make the cake.</t>
  </si>
  <si>
    <t>In cell C34 , enter a function to work out the total cost of all the ingredients.</t>
  </si>
  <si>
    <t>What is the average total pocket money received? </t>
  </si>
  <si>
    <t>Warning: The numbers in column A will change every time you press ENTER.</t>
  </si>
  <si>
    <t>Butter 250 g</t>
  </si>
  <si>
    <t>Caster sugar 500 g</t>
  </si>
  <si>
    <t>Double cream 250 ml</t>
  </si>
  <si>
    <t>Icing sugar 500 g</t>
  </si>
  <si>
    <t>Margerine 500 g</t>
  </si>
  <si>
    <t>Self-raising flour 500 g</t>
  </si>
  <si>
    <t>175 g Butter</t>
  </si>
  <si>
    <t>175 g Caster sugar</t>
  </si>
  <si>
    <t>175 g Self-raising flour</t>
  </si>
  <si>
    <t>500 ml Double cream</t>
  </si>
  <si>
    <t>200 g Icing sugar</t>
  </si>
  <si>
    <t>Fresh milk 1 litre</t>
  </si>
  <si>
    <t>Remember that you will have to buy full packets and jars. So, for example, you will need to buy one box of 12 eggs to get the three eggs needed for the recipe.</t>
  </si>
  <si>
    <t>Write functions in Column D to calculate the total, average, highest number and lowest number from the values in A6 to A15.</t>
  </si>
  <si>
    <t>Week 1 = £1, Week 2 = £2, Week 3 = £3, etc.</t>
  </si>
  <si>
    <t>Week 1 = £3, Week 2 = £3.50, Week 3 = £4, etc.</t>
  </si>
  <si>
    <t>Week 1 = £5, Week 2 = £5.10, Week 3 = £5.20,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</si>
</sst>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_);[Red]\(&quot;£&quot;#,##0.00\)"/>
    <numFmt numFmtId="165" formatCode="&quot;£&quot;#,##0.00"/>
  </numFmts>
  <fonts count="12" x14ac:knownFonts="1">
    <font>
      <sz val="12"/>
      <color theme="1"/>
      <name val="Calibri"/>
      <family val="2"/>
      <scheme val="minor"/>
    </font>
    <font>
      <b/>
      <sz val="12"/>
      <color theme="1"/>
      <name val="Calibri"/>
      <family val="2"/>
      <scheme val="minor"/>
    </font>
    <font>
      <sz val="12"/>
      <color rgb="FF000000"/>
      <name val="Arial"/>
      <family val="2"/>
    </font>
    <font>
      <b/>
      <sz val="10"/>
      <color theme="1"/>
      <name val="Arial"/>
      <family val="2"/>
    </font>
    <font>
      <sz val="20"/>
      <color rgb="FF000000"/>
      <name val="Calibri"/>
      <family val="2"/>
      <scheme val="minor"/>
    </font>
    <font>
      <sz val="12"/>
      <color theme="5" tint="-0.249977111117893"/>
      <name val="Calibri"/>
      <family val="2"/>
      <scheme val="minor"/>
    </font>
    <font>
      <sz val="12"/>
      <color rgb="FFC0504D"/>
      <name val="Calibri"/>
      <family val="2"/>
      <scheme val="minor"/>
    </font>
    <font>
      <b/>
      <sz val="12"/>
      <color rgb="FF000000"/>
      <name val="Calibri"/>
      <family val="2"/>
      <scheme val="minor"/>
    </font>
    <font>
      <sz val="12"/>
      <color rgb="FF000000"/>
      <name val="Calibri"/>
      <family val="2"/>
      <scheme val="minor"/>
    </font>
    <font>
      <b/>
      <sz val="9"/>
      <color rgb="FF000000"/>
      <name val="Calibri"/>
      <family val="2"/>
      <scheme val="minor"/>
    </font>
    <font>
      <b/>
      <sz val="12"/>
      <color theme="8" tint="-0.249977111117893"/>
      <name val="Calibri"/>
      <family val="2"/>
      <scheme val="minor"/>
    </font>
    <font>
      <sz val="12"/>
      <color rgb="FFC65911"/>
      <name val="Calibri"/>
      <family val="2"/>
      <scheme val="minor"/>
    </font>
  </fonts>
  <fills count="10">
    <fill>
      <patternFill patternType="none"/>
    </fill>
    <fill>
      <patternFill patternType="gray125"/>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theme="0" tint="-0.249977111117893"/>
        <bgColor indexed="64"/>
      </patternFill>
    </fill>
    <fill>
      <patternFill patternType="solid">
        <fgColor theme="4" tint="0.59999389629810485"/>
        <bgColor indexed="64"/>
      </patternFill>
    </fill>
    <fill>
      <patternFill patternType="solid">
        <fgColor theme="7" tint="0.59999389629810485"/>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s>
  <cellStyleXfs count="1">
    <xf numFmtId="0" fontId="0" fillId="0" borderId="0"/>
  </cellStyleXfs>
  <cellXfs count="94">
    <xf numFmtId="0" fontId="0" fillId="0" borderId="0" xfId="0"/>
    <xf numFmtId="0" fontId="1" fillId="0" borderId="0" xfId="0" applyFont="1"/>
    <xf numFmtId="0" fontId="2" fillId="0" borderId="0" xfId="0" applyFont="1"/>
    <xf numFmtId="0" fontId="3" fillId="0" borderId="0" xfId="0" applyFont="1"/>
    <xf numFmtId="0" fontId="2" fillId="2" borderId="0" xfId="0" applyFont="1" applyFill="1"/>
    <xf numFmtId="0" fontId="4" fillId="0" borderId="0" xfId="0" applyFont="1" applyAlignment="1"/>
    <xf numFmtId="0" fontId="0" fillId="0" borderId="0" xfId="0" applyAlignment="1">
      <alignment horizontal="center"/>
    </xf>
    <xf numFmtId="165" fontId="0" fillId="5" borderId="13" xfId="0" applyNumberFormat="1" applyFont="1" applyFill="1" applyBorder="1" applyAlignment="1">
      <alignment horizontal="center"/>
    </xf>
    <xf numFmtId="165" fontId="0" fillId="5" borderId="11" xfId="0" applyNumberFormat="1" applyFont="1" applyFill="1" applyBorder="1" applyAlignment="1">
      <alignment horizontal="center"/>
    </xf>
    <xf numFmtId="0" fontId="0" fillId="0" borderId="0" xfId="0" applyFont="1"/>
    <xf numFmtId="0" fontId="6" fillId="0" borderId="0" xfId="0" applyFont="1"/>
    <xf numFmtId="0" fontId="7" fillId="5" borderId="10" xfId="0" applyFont="1" applyFill="1" applyBorder="1" applyAlignment="1">
      <alignment horizontal="center"/>
    </xf>
    <xf numFmtId="0" fontId="7" fillId="4" borderId="16" xfId="0" applyFont="1" applyFill="1" applyBorder="1" applyAlignment="1">
      <alignment horizontal="center"/>
    </xf>
    <xf numFmtId="0" fontId="7" fillId="3" borderId="14" xfId="0" applyFont="1" applyFill="1" applyBorder="1" applyAlignment="1">
      <alignment horizontal="center"/>
    </xf>
    <xf numFmtId="0" fontId="7" fillId="2" borderId="14" xfId="0" applyFont="1" applyFill="1" applyBorder="1" applyAlignment="1">
      <alignment horizontal="center"/>
    </xf>
    <xf numFmtId="0" fontId="1" fillId="5" borderId="15" xfId="0" applyFont="1" applyFill="1" applyBorder="1" applyAlignment="1">
      <alignment horizontal="center"/>
    </xf>
    <xf numFmtId="0" fontId="7" fillId="5" borderId="17" xfId="0" applyFont="1" applyFill="1" applyBorder="1" applyAlignment="1">
      <alignment horizontal="center"/>
    </xf>
    <xf numFmtId="165" fontId="0" fillId="4" borderId="7" xfId="0" applyNumberFormat="1" applyFont="1" applyFill="1" applyBorder="1" applyAlignment="1">
      <alignment horizontal="center"/>
    </xf>
    <xf numFmtId="165" fontId="0" fillId="3" borderId="12" xfId="0" applyNumberFormat="1" applyFont="1" applyFill="1" applyBorder="1" applyAlignment="1">
      <alignment horizontal="center"/>
    </xf>
    <xf numFmtId="165" fontId="0" fillId="2" borderId="12" xfId="0" applyNumberFormat="1" applyFont="1" applyFill="1" applyBorder="1" applyAlignment="1">
      <alignment horizontal="center"/>
    </xf>
    <xf numFmtId="0" fontId="7" fillId="5" borderId="18" xfId="0" applyFont="1" applyFill="1" applyBorder="1" applyAlignment="1">
      <alignment horizontal="center"/>
    </xf>
    <xf numFmtId="165" fontId="0" fillId="3" borderId="1" xfId="0" applyNumberFormat="1" applyFont="1" applyFill="1" applyBorder="1" applyAlignment="1">
      <alignment horizontal="center"/>
    </xf>
    <xf numFmtId="165" fontId="0" fillId="2" borderId="1" xfId="0" applyNumberFormat="1" applyFont="1" applyFill="1" applyBorder="1" applyAlignment="1">
      <alignment horizontal="center"/>
    </xf>
    <xf numFmtId="0" fontId="0" fillId="0" borderId="0" xfId="0" applyFont="1" applyAlignment="1">
      <alignment horizontal="left"/>
    </xf>
    <xf numFmtId="0" fontId="7" fillId="5" borderId="19" xfId="0" applyFont="1" applyFill="1" applyBorder="1" applyAlignment="1">
      <alignment horizontal="center"/>
    </xf>
    <xf numFmtId="0" fontId="7" fillId="6" borderId="10" xfId="0" applyFont="1" applyFill="1" applyBorder="1" applyAlignment="1">
      <alignment horizontal="center"/>
    </xf>
    <xf numFmtId="165" fontId="0" fillId="4" borderId="16" xfId="0" applyNumberFormat="1" applyFont="1" applyFill="1" applyBorder="1" applyAlignment="1">
      <alignment horizontal="center"/>
    </xf>
    <xf numFmtId="0" fontId="8" fillId="0" borderId="0" xfId="0" applyFont="1"/>
    <xf numFmtId="165" fontId="0" fillId="2" borderId="1" xfId="0" applyNumberFormat="1" applyFont="1" applyFill="1" applyBorder="1"/>
    <xf numFmtId="0" fontId="5" fillId="0" borderId="0" xfId="0" applyFont="1"/>
    <xf numFmtId="0" fontId="0" fillId="7" borderId="0" xfId="0" applyFont="1" applyFill="1"/>
    <xf numFmtId="164" fontId="8" fillId="0" borderId="1" xfId="0" applyNumberFormat="1" applyFont="1" applyBorder="1"/>
    <xf numFmtId="0" fontId="8" fillId="3" borderId="1" xfId="0" applyFont="1" applyFill="1" applyBorder="1"/>
    <xf numFmtId="0" fontId="8" fillId="3" borderId="1" xfId="0" applyFont="1" applyFill="1" applyBorder="1" applyAlignment="1">
      <alignment horizontal="center"/>
    </xf>
    <xf numFmtId="0" fontId="9" fillId="8" borderId="1" xfId="0" applyFont="1" applyFill="1" applyBorder="1" applyAlignment="1">
      <alignment wrapText="1"/>
    </xf>
    <xf numFmtId="0" fontId="0" fillId="2" borderId="1" xfId="0" applyFont="1" applyFill="1" applyBorder="1"/>
    <xf numFmtId="0" fontId="0" fillId="0" borderId="0" xfId="0" applyFont="1" applyAlignment="1">
      <alignment horizontal="center"/>
    </xf>
    <xf numFmtId="0" fontId="1" fillId="0" borderId="1" xfId="0" applyFont="1" applyBorder="1"/>
    <xf numFmtId="0" fontId="0" fillId="0" borderId="1" xfId="0" applyFont="1" applyBorder="1"/>
    <xf numFmtId="165" fontId="0" fillId="9" borderId="1" xfId="0" applyNumberFormat="1" applyFont="1" applyFill="1" applyBorder="1" applyAlignment="1">
      <alignment horizontal="center"/>
    </xf>
    <xf numFmtId="165" fontId="0" fillId="0" borderId="1" xfId="0" applyNumberFormat="1" applyFont="1" applyBorder="1" applyAlignment="1">
      <alignment horizontal="center"/>
    </xf>
    <xf numFmtId="0" fontId="0" fillId="0" borderId="0" xfId="0" applyFill="1" applyBorder="1" applyAlignment="1" applyProtection="1">
      <alignment horizontal="center"/>
      <protection hidden="1"/>
    </xf>
    <xf numFmtId="0" fontId="0" fillId="2" borderId="0" xfId="0" applyFill="1" applyAlignment="1">
      <alignment horizontal="center"/>
    </xf>
    <xf numFmtId="0" fontId="0" fillId="0" borderId="0" xfId="0" applyAlignment="1"/>
    <xf numFmtId="0" fontId="0" fillId="2" borderId="0" xfId="0" applyFill="1" applyAlignment="1"/>
    <xf numFmtId="0" fontId="10" fillId="0" borderId="1" xfId="0" applyFont="1" applyBorder="1"/>
    <xf numFmtId="0" fontId="10" fillId="0" borderId="1" xfId="0" applyFont="1" applyBorder="1" applyAlignment="1">
      <alignment horizontal="center"/>
    </xf>
    <xf numFmtId="0" fontId="11" fillId="0" borderId="0" xfId="0" applyFont="1"/>
    <xf numFmtId="0" fontId="11" fillId="0" borderId="0" xfId="0" applyFont="1" applyAlignment="1">
      <alignment horizontal="center"/>
    </xf>
    <xf numFmtId="0" fontId="5" fillId="0" borderId="0" xfId="0" applyFont="1" applyAlignment="1">
      <alignment horizontal="left"/>
    </xf>
    <xf numFmtId="0" fontId="4" fillId="0" borderId="0" xfId="0" applyFont="1" applyAlignment="1">
      <alignment horizontal="left"/>
    </xf>
    <xf numFmtId="0" fontId="4" fillId="0" borderId="0" xfId="0" applyFont="1" applyAlignment="1"/>
    <xf numFmtId="0" fontId="0" fillId="0" borderId="0" xfId="0" applyFont="1"/>
    <xf numFmtId="0" fontId="0" fillId="0" borderId="9" xfId="0" applyFont="1" applyBorder="1"/>
    <xf numFmtId="0" fontId="5" fillId="0" borderId="0" xfId="0" applyFont="1"/>
    <xf numFmtId="0" fontId="7" fillId="3" borderId="1" xfId="0" applyFont="1" applyFill="1" applyBorder="1" applyAlignment="1">
      <alignment horizontal="center"/>
    </xf>
    <xf numFmtId="0" fontId="9" fillId="8" borderId="1" xfId="0" applyFont="1" applyFill="1" applyBorder="1" applyAlignment="1">
      <alignment horizontal="center" wrapText="1"/>
    </xf>
    <xf numFmtId="0" fontId="7" fillId="3" borderId="20" xfId="0" applyFont="1" applyFill="1" applyBorder="1" applyAlignment="1">
      <alignment horizontal="left"/>
    </xf>
    <xf numFmtId="0" fontId="7" fillId="3" borderId="12" xfId="0" applyFont="1" applyFill="1" applyBorder="1" applyAlignment="1">
      <alignment horizontal="left"/>
    </xf>
    <xf numFmtId="0" fontId="7" fillId="2" borderId="2" xfId="0" applyFont="1" applyFill="1" applyBorder="1" applyAlignment="1">
      <alignment horizontal="left"/>
    </xf>
    <xf numFmtId="0" fontId="7" fillId="2" borderId="3" xfId="0" applyFont="1" applyFill="1" applyBorder="1" applyAlignment="1">
      <alignment horizontal="left"/>
    </xf>
    <xf numFmtId="0" fontId="7" fillId="2" borderId="4" xfId="0" applyFont="1" applyFill="1" applyBorder="1" applyAlignment="1">
      <alignment horizontal="left"/>
    </xf>
    <xf numFmtId="0" fontId="4" fillId="0" borderId="0" xfId="0" applyFont="1"/>
    <xf numFmtId="0" fontId="7" fillId="4" borderId="2" xfId="0" applyFont="1" applyFill="1" applyBorder="1" applyAlignment="1">
      <alignment horizontal="left"/>
    </xf>
    <xf numFmtId="0" fontId="7" fillId="4" borderId="3" xfId="0" applyFont="1" applyFill="1" applyBorder="1" applyAlignment="1">
      <alignment horizontal="left"/>
    </xf>
    <xf numFmtId="0" fontId="7" fillId="4" borderId="4" xfId="0" applyFont="1" applyFill="1" applyBorder="1" applyAlignment="1">
      <alignment horizontal="left"/>
    </xf>
    <xf numFmtId="0" fontId="0" fillId="4" borderId="5" xfId="0" applyFont="1" applyFill="1" applyBorder="1" applyAlignment="1">
      <alignment horizontal="left"/>
    </xf>
    <xf numFmtId="0" fontId="0" fillId="4" borderId="6" xfId="0" applyFont="1" applyFill="1" applyBorder="1" applyAlignment="1">
      <alignment horizontal="left"/>
    </xf>
    <xf numFmtId="0" fontId="0" fillId="4" borderId="7" xfId="0" applyFont="1" applyFill="1" applyBorder="1" applyAlignment="1">
      <alignment horizontal="left"/>
    </xf>
    <xf numFmtId="0" fontId="7" fillId="3" borderId="2" xfId="0" applyFont="1" applyFill="1" applyBorder="1" applyAlignment="1">
      <alignment horizontal="left"/>
    </xf>
    <xf numFmtId="0" fontId="7" fillId="3" borderId="3" xfId="0" applyFont="1" applyFill="1" applyBorder="1" applyAlignment="1">
      <alignment horizontal="left"/>
    </xf>
    <xf numFmtId="0" fontId="7" fillId="3" borderId="4" xfId="0" applyFont="1" applyFill="1" applyBorder="1" applyAlignment="1">
      <alignment horizontal="left"/>
    </xf>
    <xf numFmtId="0" fontId="8" fillId="3" borderId="8" xfId="0" applyFont="1" applyFill="1" applyBorder="1" applyAlignment="1">
      <alignment horizontal="left"/>
    </xf>
    <xf numFmtId="0" fontId="8" fillId="3" borderId="0" xfId="0" applyFont="1" applyFill="1" applyBorder="1" applyAlignment="1">
      <alignment horizontal="left"/>
    </xf>
    <xf numFmtId="0" fontId="8" fillId="3" borderId="9" xfId="0" applyFont="1" applyFill="1" applyBorder="1" applyAlignment="1">
      <alignment horizontal="left"/>
    </xf>
    <xf numFmtId="0" fontId="8" fillId="3" borderId="5" xfId="0" applyFont="1" applyFill="1" applyBorder="1" applyAlignment="1">
      <alignment horizontal="left"/>
    </xf>
    <xf numFmtId="0" fontId="8" fillId="3" borderId="6" xfId="0" applyFont="1" applyFill="1" applyBorder="1" applyAlignment="1">
      <alignment horizontal="left"/>
    </xf>
    <xf numFmtId="0" fontId="8" fillId="3" borderId="7" xfId="0" applyFont="1" applyFill="1" applyBorder="1" applyAlignment="1">
      <alignment horizontal="left"/>
    </xf>
    <xf numFmtId="0" fontId="8" fillId="2" borderId="8" xfId="0" applyFont="1" applyFill="1" applyBorder="1" applyAlignment="1">
      <alignment horizontal="left"/>
    </xf>
    <xf numFmtId="0" fontId="8" fillId="2" borderId="0" xfId="0" applyFont="1" applyFill="1" applyBorder="1" applyAlignment="1">
      <alignment horizontal="left"/>
    </xf>
    <xf numFmtId="0" fontId="8" fillId="2" borderId="9" xfId="0" applyFont="1" applyFill="1" applyBorder="1" applyAlignment="1">
      <alignment horizontal="left"/>
    </xf>
    <xf numFmtId="0" fontId="8" fillId="2" borderId="5" xfId="0" applyFont="1" applyFill="1" applyBorder="1" applyAlignment="1">
      <alignment horizontal="left"/>
    </xf>
    <xf numFmtId="0" fontId="8" fillId="2" borderId="6" xfId="0" applyFont="1" applyFill="1" applyBorder="1" applyAlignment="1">
      <alignment horizontal="left"/>
    </xf>
    <xf numFmtId="0" fontId="8" fillId="2" borderId="7" xfId="0" applyFont="1" applyFill="1" applyBorder="1" applyAlignment="1">
      <alignment horizontal="left"/>
    </xf>
    <xf numFmtId="0" fontId="7" fillId="5" borderId="2" xfId="0" applyFont="1" applyFill="1" applyBorder="1" applyAlignment="1">
      <alignment horizontal="left"/>
    </xf>
    <xf numFmtId="0" fontId="7" fillId="5" borderId="3" xfId="0" applyFont="1" applyFill="1" applyBorder="1" applyAlignment="1">
      <alignment horizontal="left"/>
    </xf>
    <xf numFmtId="0" fontId="7" fillId="5" borderId="4" xfId="0" applyFont="1" applyFill="1" applyBorder="1" applyAlignment="1">
      <alignment horizontal="left"/>
    </xf>
    <xf numFmtId="0" fontId="8" fillId="5" borderId="8" xfId="0" applyFont="1" applyFill="1" applyBorder="1" applyAlignment="1">
      <alignment horizontal="left"/>
    </xf>
    <xf numFmtId="0" fontId="8" fillId="5" borderId="0" xfId="0" applyFont="1" applyFill="1" applyBorder="1" applyAlignment="1">
      <alignment horizontal="left"/>
    </xf>
    <xf numFmtId="0" fontId="8" fillId="5" borderId="9" xfId="0" applyFont="1" applyFill="1" applyBorder="1" applyAlignment="1">
      <alignment horizontal="left"/>
    </xf>
    <xf numFmtId="0" fontId="8" fillId="5" borderId="5" xfId="0" applyFont="1" applyFill="1" applyBorder="1" applyAlignment="1">
      <alignment horizontal="left"/>
    </xf>
    <xf numFmtId="0" fontId="8" fillId="5" borderId="6" xfId="0" applyFont="1" applyFill="1" applyBorder="1" applyAlignment="1">
      <alignment horizontal="left"/>
    </xf>
    <xf numFmtId="0" fontId="8" fillId="5" borderId="7" xfId="0" applyFont="1" applyFill="1" applyBorder="1" applyAlignment="1">
      <alignment horizontal="left"/>
    </xf>
    <xf numFmtId="0" fontId="11" fillId="0" borderId="0" xfId="0" applyFont="1"/>
  </cellXfs>
  <cellStyles count="1">
    <cellStyle name="Normal" xfId="0" builtinId="0"/>
  </cellStyles>
  <dxfs count="59">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1E53B-B0B6-A246-AE49-8FA0DAA112C0}">
  <dimension ref="A1:H14"/>
  <sheetViews>
    <sheetView zoomScaleNormal="100" workbookViewId="0">
      <selection activeCell="H5" sqref="H5"/>
    </sheetView>
  </sheetViews>
  <sheetFormatPr defaultColWidth="11" defaultRowHeight="15.5" x14ac:dyDescent="0.35"/>
  <cols>
    <col min="8" max="8" width="10.83203125" style="6"/>
  </cols>
  <sheetData>
    <row r="1" spans="1:8" s="50" customFormat="1" ht="26" x14ac:dyDescent="0.6">
      <c r="A1" s="50" t="s">
        <v>42</v>
      </c>
    </row>
    <row r="2" spans="1:8" ht="16" customHeight="1" x14ac:dyDescent="0.6">
      <c r="A2" s="5"/>
      <c r="B2" s="6"/>
      <c r="C2" s="6"/>
      <c r="D2" s="6"/>
    </row>
    <row r="3" spans="1:8" s="49" customFormat="1" x14ac:dyDescent="0.35">
      <c r="A3" s="49" t="s">
        <v>36</v>
      </c>
    </row>
    <row r="5" spans="1:8" x14ac:dyDescent="0.35">
      <c r="A5" s="41">
        <v>71</v>
      </c>
      <c r="B5" s="41">
        <v>9</v>
      </c>
      <c r="C5" s="41">
        <v>2</v>
      </c>
      <c r="D5" s="41">
        <v>15</v>
      </c>
      <c r="E5" s="41">
        <v>20</v>
      </c>
      <c r="F5" s="41">
        <v>7</v>
      </c>
      <c r="G5" s="41">
        <v>17</v>
      </c>
      <c r="H5" s="42"/>
    </row>
    <row r="6" spans="1:8" x14ac:dyDescent="0.35">
      <c r="A6" s="41">
        <v>9</v>
      </c>
      <c r="B6" s="41">
        <v>15</v>
      </c>
      <c r="C6" s="41">
        <v>37</v>
      </c>
      <c r="D6" s="41">
        <v>3</v>
      </c>
      <c r="E6" s="41">
        <v>10</v>
      </c>
      <c r="F6" s="41">
        <v>78</v>
      </c>
      <c r="G6" s="41">
        <v>29</v>
      </c>
      <c r="H6" s="42"/>
    </row>
    <row r="7" spans="1:8" x14ac:dyDescent="0.35">
      <c r="A7" s="41">
        <v>73</v>
      </c>
      <c r="B7" s="41">
        <v>47</v>
      </c>
      <c r="C7" s="41">
        <v>5</v>
      </c>
      <c r="D7" s="41">
        <v>33</v>
      </c>
      <c r="E7" s="41">
        <v>25</v>
      </c>
      <c r="F7" s="41">
        <v>6</v>
      </c>
      <c r="G7" s="41">
        <v>64</v>
      </c>
      <c r="H7" s="42"/>
    </row>
    <row r="8" spans="1:8" x14ac:dyDescent="0.35">
      <c r="A8" s="41">
        <v>36</v>
      </c>
      <c r="B8" s="41">
        <v>8</v>
      </c>
      <c r="C8" s="41">
        <v>24</v>
      </c>
      <c r="D8" s="41">
        <v>4</v>
      </c>
      <c r="E8" s="41">
        <v>2</v>
      </c>
      <c r="F8" s="41">
        <v>11</v>
      </c>
      <c r="G8" s="41">
        <v>15</v>
      </c>
      <c r="H8" s="42"/>
    </row>
    <row r="9" spans="1:8" x14ac:dyDescent="0.35">
      <c r="A9" s="41">
        <v>20</v>
      </c>
      <c r="B9" s="41">
        <v>43</v>
      </c>
      <c r="C9" s="41">
        <v>68</v>
      </c>
      <c r="D9" s="41">
        <v>57</v>
      </c>
      <c r="E9" s="41">
        <v>55</v>
      </c>
      <c r="F9" s="41">
        <v>35</v>
      </c>
      <c r="G9" s="41">
        <v>63</v>
      </c>
      <c r="H9" s="42"/>
    </row>
    <row r="10" spans="1:8" x14ac:dyDescent="0.35">
      <c r="A10" s="41">
        <v>56</v>
      </c>
      <c r="B10" s="41">
        <v>38</v>
      </c>
      <c r="C10" s="41">
        <v>8</v>
      </c>
      <c r="D10" s="41">
        <v>6</v>
      </c>
      <c r="E10" s="41">
        <v>26</v>
      </c>
      <c r="F10" s="41">
        <v>24</v>
      </c>
      <c r="G10" s="41">
        <v>27</v>
      </c>
      <c r="H10" s="42"/>
    </row>
    <row r="11" spans="1:8" x14ac:dyDescent="0.35">
      <c r="A11" s="41">
        <v>39</v>
      </c>
      <c r="B11" s="41">
        <v>21</v>
      </c>
      <c r="C11" s="41">
        <v>36</v>
      </c>
      <c r="D11" s="41">
        <v>34</v>
      </c>
      <c r="E11" s="41">
        <v>31</v>
      </c>
      <c r="F11" s="41">
        <v>40</v>
      </c>
      <c r="G11" s="41">
        <v>44</v>
      </c>
      <c r="H11" s="42"/>
    </row>
    <row r="12" spans="1:8" x14ac:dyDescent="0.35">
      <c r="A12" s="41">
        <v>7</v>
      </c>
      <c r="B12" s="41">
        <v>1</v>
      </c>
      <c r="C12" s="41">
        <v>50</v>
      </c>
      <c r="D12" s="41">
        <v>32</v>
      </c>
      <c r="E12" s="41">
        <v>9</v>
      </c>
      <c r="F12" s="41">
        <v>28</v>
      </c>
      <c r="G12" s="41">
        <v>30</v>
      </c>
      <c r="H12" s="42"/>
    </row>
    <row r="13" spans="1:8" x14ac:dyDescent="0.35">
      <c r="A13" s="41">
        <v>99</v>
      </c>
      <c r="B13" s="41">
        <v>14</v>
      </c>
      <c r="C13" s="41">
        <v>6</v>
      </c>
      <c r="D13" s="41">
        <v>3</v>
      </c>
      <c r="E13" s="41">
        <v>49</v>
      </c>
      <c r="F13" s="41">
        <v>83</v>
      </c>
      <c r="G13" s="41">
        <v>74</v>
      </c>
      <c r="H13" s="42"/>
    </row>
    <row r="14" spans="1:8" x14ac:dyDescent="0.35">
      <c r="A14" s="41">
        <v>60</v>
      </c>
      <c r="B14" s="41">
        <v>4</v>
      </c>
      <c r="C14" s="41">
        <v>61</v>
      </c>
      <c r="D14" s="41">
        <v>32</v>
      </c>
      <c r="E14" s="41">
        <v>19</v>
      </c>
      <c r="F14" s="41">
        <v>20</v>
      </c>
      <c r="G14" s="41">
        <v>51</v>
      </c>
      <c r="H14" s="42"/>
    </row>
  </sheetData>
  <mergeCells count="2">
    <mergeCell ref="A3:XFD3"/>
    <mergeCell ref="A1:XFD1"/>
  </mergeCell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0" operator="containsText" id="{FF5FF9A5-6F3F-754F-AFA1-6E7505C173DA}">
            <xm:f>NOT(ISERROR(SEARCH(SUM(A5:G5),H5)))</xm:f>
            <xm:f>SUM(A5:G5)</xm:f>
            <x14:dxf>
              <font>
                <color rgb="FF006100"/>
              </font>
              <fill>
                <patternFill>
                  <bgColor rgb="FFC6EFCE"/>
                </patternFill>
              </fill>
            </x14:dxf>
          </x14:cfRule>
          <xm:sqref>H5</xm:sqref>
        </x14:conditionalFormatting>
        <x14:conditionalFormatting xmlns:xm="http://schemas.microsoft.com/office/excel/2006/main">
          <x14:cfRule type="containsText" priority="9" operator="containsText" id="{679FFDE4-0098-F141-AB13-FB62CF8F5038}">
            <xm:f>NOT(ISERROR(SEARCH(SUM(A6:G6),H6)))</xm:f>
            <xm:f>SUM(A6:G6)</xm:f>
            <x14:dxf>
              <font>
                <color rgb="FF006100"/>
              </font>
              <fill>
                <patternFill>
                  <bgColor rgb="FFC6EFCE"/>
                </patternFill>
              </fill>
            </x14:dxf>
          </x14:cfRule>
          <xm:sqref>H6</xm:sqref>
        </x14:conditionalFormatting>
        <x14:conditionalFormatting xmlns:xm="http://schemas.microsoft.com/office/excel/2006/main">
          <x14:cfRule type="containsText" priority="8" operator="containsText" id="{03D1DEFC-FA04-A14E-AB81-8A98ABF6977E}">
            <xm:f>NOT(ISERROR(SEARCH(SUM(A7:G7),H7)))</xm:f>
            <xm:f>SUM(A7:G7)</xm:f>
            <x14:dxf>
              <font>
                <color rgb="FF006100"/>
              </font>
              <fill>
                <patternFill>
                  <bgColor rgb="FFC6EFCE"/>
                </patternFill>
              </fill>
            </x14:dxf>
          </x14:cfRule>
          <xm:sqref>H7</xm:sqref>
        </x14:conditionalFormatting>
        <x14:conditionalFormatting xmlns:xm="http://schemas.microsoft.com/office/excel/2006/main">
          <x14:cfRule type="containsText" priority="7" operator="containsText" id="{68A0ACB6-25EB-274D-BD98-913D7178ED90}">
            <xm:f>NOT(ISERROR(SEARCH(SUM(A8:G8),H8)))</xm:f>
            <xm:f>SUM(A8:G8)</xm:f>
            <x14:dxf>
              <font>
                <color rgb="FF006100"/>
              </font>
              <fill>
                <patternFill>
                  <bgColor rgb="FFC6EFCE"/>
                </patternFill>
              </fill>
            </x14:dxf>
          </x14:cfRule>
          <xm:sqref>H8</xm:sqref>
        </x14:conditionalFormatting>
        <x14:conditionalFormatting xmlns:xm="http://schemas.microsoft.com/office/excel/2006/main">
          <x14:cfRule type="containsText" priority="6" operator="containsText" id="{EB78C255-3129-B444-9EA0-016D4B6F7737}">
            <xm:f>NOT(ISERROR(SEARCH(SUM(A9:G9),H9)))</xm:f>
            <xm:f>SUM(A9:G9)</xm:f>
            <x14:dxf>
              <font>
                <color rgb="FF006100"/>
              </font>
              <fill>
                <patternFill>
                  <bgColor rgb="FFC6EFCE"/>
                </patternFill>
              </fill>
            </x14:dxf>
          </x14:cfRule>
          <xm:sqref>H9</xm:sqref>
        </x14:conditionalFormatting>
        <x14:conditionalFormatting xmlns:xm="http://schemas.microsoft.com/office/excel/2006/main">
          <x14:cfRule type="containsText" priority="5" operator="containsText" id="{3F0F8EEA-D3E2-4E4F-AD64-7BA764B68CD8}">
            <xm:f>NOT(ISERROR(SEARCH(SUM(A10:G10),H10)))</xm:f>
            <xm:f>SUM(A10:G10)</xm:f>
            <x14:dxf>
              <font>
                <color rgb="FF006100"/>
              </font>
              <fill>
                <patternFill>
                  <bgColor rgb="FFC6EFCE"/>
                </patternFill>
              </fill>
            </x14:dxf>
          </x14:cfRule>
          <xm:sqref>H10</xm:sqref>
        </x14:conditionalFormatting>
        <x14:conditionalFormatting xmlns:xm="http://schemas.microsoft.com/office/excel/2006/main">
          <x14:cfRule type="containsText" priority="4" operator="containsText" id="{8CE7D1C3-0115-A641-BCB6-1BF02C85FD1F}">
            <xm:f>NOT(ISERROR(SEARCH(SUM(A11:G11),H11)))</xm:f>
            <xm:f>SUM(A11:G11)</xm:f>
            <x14:dxf>
              <font>
                <color rgb="FF006100"/>
              </font>
              <fill>
                <patternFill>
                  <bgColor rgb="FFC6EFCE"/>
                </patternFill>
              </fill>
            </x14:dxf>
          </x14:cfRule>
          <xm:sqref>H11</xm:sqref>
        </x14:conditionalFormatting>
        <x14:conditionalFormatting xmlns:xm="http://schemas.microsoft.com/office/excel/2006/main">
          <x14:cfRule type="containsText" priority="3" operator="containsText" id="{FCE7568F-5FC1-C14E-B167-7C2012D20121}">
            <xm:f>NOT(ISERROR(SEARCH(SUM(A12:G12),H12)))</xm:f>
            <xm:f>SUM(A12:G12)</xm:f>
            <x14:dxf>
              <font>
                <color rgb="FF006100"/>
              </font>
              <fill>
                <patternFill>
                  <bgColor rgb="FFC6EFCE"/>
                </patternFill>
              </fill>
            </x14:dxf>
          </x14:cfRule>
          <xm:sqref>H12</xm:sqref>
        </x14:conditionalFormatting>
        <x14:conditionalFormatting xmlns:xm="http://schemas.microsoft.com/office/excel/2006/main">
          <x14:cfRule type="containsText" priority="2" operator="containsText" id="{3AC752A2-2672-7147-864D-376433AB68CC}">
            <xm:f>NOT(ISERROR(SEARCH(SUM(A13:G13),H13)))</xm:f>
            <xm:f>SUM(A13:G13)</xm:f>
            <x14:dxf>
              <font>
                <color rgb="FF006100"/>
              </font>
              <fill>
                <patternFill>
                  <bgColor rgb="FFC6EFCE"/>
                </patternFill>
              </fill>
            </x14:dxf>
          </x14:cfRule>
          <xm:sqref>H13</xm:sqref>
        </x14:conditionalFormatting>
        <x14:conditionalFormatting xmlns:xm="http://schemas.microsoft.com/office/excel/2006/main">
          <x14:cfRule type="containsText" priority="1" operator="containsText" id="{0CC77502-7DBA-AA4C-8D0C-7E641E7D63EF}">
            <xm:f>NOT(ISERROR(SEARCH(SUM(A14:G14),H14)))</xm:f>
            <xm:f>SUM(A14:G14)</xm:f>
            <x14:dxf>
              <font>
                <color rgb="FF006100"/>
              </font>
              <fill>
                <patternFill>
                  <bgColor rgb="FFC6EFCE"/>
                </patternFill>
              </fill>
            </x14:dxf>
          </x14:cfRule>
          <xm:sqref>H14</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F6E01-C2B2-DD41-BEDD-843D6E29FDF0}">
  <dimension ref="A1:H14"/>
  <sheetViews>
    <sheetView zoomScaleNormal="100" workbookViewId="0">
      <selection activeCell="H5" sqref="H5"/>
    </sheetView>
  </sheetViews>
  <sheetFormatPr defaultColWidth="11" defaultRowHeight="15.5" x14ac:dyDescent="0.35"/>
  <cols>
    <col min="8" max="8" width="10.83203125" style="6"/>
  </cols>
  <sheetData>
    <row r="1" spans="1:8" s="50" customFormat="1" ht="26" x14ac:dyDescent="0.6">
      <c r="A1" s="50" t="s">
        <v>43</v>
      </c>
    </row>
    <row r="2" spans="1:8" ht="16" customHeight="1" x14ac:dyDescent="0.6">
      <c r="A2" s="5"/>
      <c r="B2" s="6"/>
      <c r="C2" s="6"/>
      <c r="D2" s="6"/>
    </row>
    <row r="3" spans="1:8" s="49" customFormat="1" x14ac:dyDescent="0.35">
      <c r="A3" s="49" t="s">
        <v>37</v>
      </c>
    </row>
    <row r="5" spans="1:8" x14ac:dyDescent="0.35">
      <c r="A5" s="41">
        <v>71</v>
      </c>
      <c r="B5" s="41">
        <v>9</v>
      </c>
      <c r="C5" s="41">
        <v>2</v>
      </c>
      <c r="D5" s="41">
        <v>15</v>
      </c>
      <c r="E5" s="41">
        <v>20</v>
      </c>
      <c r="F5" s="41">
        <v>7</v>
      </c>
      <c r="G5" s="41">
        <v>17</v>
      </c>
      <c r="H5" s="42"/>
    </row>
    <row r="6" spans="1:8" x14ac:dyDescent="0.35">
      <c r="A6" s="41">
        <v>9</v>
      </c>
      <c r="B6" s="41">
        <v>15</v>
      </c>
      <c r="C6" s="41">
        <v>37</v>
      </c>
      <c r="D6" s="41">
        <v>3</v>
      </c>
      <c r="E6" s="41">
        <v>10</v>
      </c>
      <c r="F6" s="41">
        <v>78</v>
      </c>
      <c r="G6" s="41">
        <v>29</v>
      </c>
      <c r="H6" s="42"/>
    </row>
    <row r="7" spans="1:8" x14ac:dyDescent="0.35">
      <c r="A7" s="41">
        <v>73</v>
      </c>
      <c r="B7" s="41">
        <v>47</v>
      </c>
      <c r="C7" s="41">
        <v>5</v>
      </c>
      <c r="D7" s="41">
        <v>33</v>
      </c>
      <c r="E7" s="41">
        <v>25</v>
      </c>
      <c r="F7" s="41">
        <v>6</v>
      </c>
      <c r="G7" s="41">
        <v>64</v>
      </c>
      <c r="H7" s="42"/>
    </row>
    <row r="8" spans="1:8" x14ac:dyDescent="0.35">
      <c r="A8" s="41">
        <v>36</v>
      </c>
      <c r="B8" s="41">
        <v>8</v>
      </c>
      <c r="C8" s="41">
        <v>24</v>
      </c>
      <c r="D8" s="41">
        <v>4</v>
      </c>
      <c r="E8" s="41">
        <v>2</v>
      </c>
      <c r="F8" s="41">
        <v>11</v>
      </c>
      <c r="G8" s="41">
        <v>15</v>
      </c>
      <c r="H8" s="42"/>
    </row>
    <row r="9" spans="1:8" x14ac:dyDescent="0.35">
      <c r="A9" s="41">
        <v>20</v>
      </c>
      <c r="B9" s="41">
        <v>43</v>
      </c>
      <c r="C9" s="41">
        <v>68</v>
      </c>
      <c r="D9" s="41">
        <v>57</v>
      </c>
      <c r="E9" s="41">
        <v>55</v>
      </c>
      <c r="F9" s="41">
        <v>35</v>
      </c>
      <c r="G9" s="41">
        <v>63</v>
      </c>
      <c r="H9" s="42"/>
    </row>
    <row r="10" spans="1:8" x14ac:dyDescent="0.35">
      <c r="A10" s="41">
        <v>56</v>
      </c>
      <c r="B10" s="41">
        <v>38</v>
      </c>
      <c r="C10" s="41">
        <v>8</v>
      </c>
      <c r="D10" s="41">
        <v>6</v>
      </c>
      <c r="E10" s="41">
        <v>26</v>
      </c>
      <c r="F10" s="41">
        <v>24</v>
      </c>
      <c r="G10" s="41">
        <v>27</v>
      </c>
      <c r="H10" s="42"/>
    </row>
    <row r="11" spans="1:8" x14ac:dyDescent="0.35">
      <c r="A11" s="41">
        <v>39</v>
      </c>
      <c r="B11" s="41">
        <v>21</v>
      </c>
      <c r="C11" s="41">
        <v>36</v>
      </c>
      <c r="D11" s="41">
        <v>34</v>
      </c>
      <c r="E11" s="41">
        <v>31</v>
      </c>
      <c r="F11" s="41">
        <v>40</v>
      </c>
      <c r="G11" s="41">
        <v>44</v>
      </c>
      <c r="H11" s="42"/>
    </row>
    <row r="12" spans="1:8" x14ac:dyDescent="0.35">
      <c r="A12" s="41">
        <v>7</v>
      </c>
      <c r="B12" s="41">
        <v>1</v>
      </c>
      <c r="C12" s="41">
        <v>50</v>
      </c>
      <c r="D12" s="41">
        <v>32</v>
      </c>
      <c r="E12" s="41">
        <v>9</v>
      </c>
      <c r="F12" s="41">
        <v>28</v>
      </c>
      <c r="G12" s="41">
        <v>30</v>
      </c>
      <c r="H12" s="42"/>
    </row>
    <row r="13" spans="1:8" x14ac:dyDescent="0.35">
      <c r="A13" s="41">
        <v>99</v>
      </c>
      <c r="B13" s="41">
        <v>14</v>
      </c>
      <c r="C13" s="41">
        <v>6</v>
      </c>
      <c r="D13" s="41">
        <v>3</v>
      </c>
      <c r="E13" s="41">
        <v>49</v>
      </c>
      <c r="F13" s="41">
        <v>83</v>
      </c>
      <c r="G13" s="41">
        <v>74</v>
      </c>
      <c r="H13" s="42"/>
    </row>
    <row r="14" spans="1:8" x14ac:dyDescent="0.35">
      <c r="A14" s="41">
        <v>60</v>
      </c>
      <c r="B14" s="41">
        <v>4</v>
      </c>
      <c r="C14" s="41">
        <v>61</v>
      </c>
      <c r="D14" s="41">
        <v>32</v>
      </c>
      <c r="E14" s="41">
        <v>19</v>
      </c>
      <c r="F14" s="41">
        <v>20</v>
      </c>
      <c r="G14" s="41">
        <v>51</v>
      </c>
      <c r="H14" s="42"/>
    </row>
  </sheetData>
  <mergeCells count="2">
    <mergeCell ref="A1:XFD1"/>
    <mergeCell ref="A3:XFD3"/>
  </mergeCell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1" operator="containsText" id="{2FD1DEA0-908C-0941-A132-93CDAA9AED37}">
            <xm:f>NOT(ISERROR(SEARCH(AVERAGE(A5:G5),H5)))</xm:f>
            <xm:f>AVERAGE(A5:G5)</xm:f>
            <x14:dxf>
              <font>
                <color rgb="FF006100"/>
              </font>
              <fill>
                <patternFill>
                  <bgColor rgb="FFC6EFCE"/>
                </patternFill>
              </fill>
            </x14:dxf>
          </x14:cfRule>
          <xm:sqref>H5</xm:sqref>
        </x14:conditionalFormatting>
        <x14:conditionalFormatting xmlns:xm="http://schemas.microsoft.com/office/excel/2006/main">
          <x14:cfRule type="containsText" priority="1" operator="containsText" id="{461FE8FC-B5A9-5441-BC27-EE40DF65B5FC}">
            <xm:f>NOT(ISERROR(SEARCH(AVERAGE(A6:G6),H6)))</xm:f>
            <xm:f>AVERAGE(A6:G6)</xm:f>
            <x14:dxf>
              <font>
                <color rgb="FF006100"/>
              </font>
              <fill>
                <patternFill>
                  <bgColor rgb="FFC6EFCE"/>
                </patternFill>
              </fill>
            </x14:dxf>
          </x14:cfRule>
          <xm:sqref>H6:H14</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3CBFC-E660-6249-9BD1-2E3DABFDA268}">
  <dimension ref="A1:H27"/>
  <sheetViews>
    <sheetView zoomScaleNormal="100" workbookViewId="0">
      <selection activeCell="H5" sqref="H5"/>
    </sheetView>
  </sheetViews>
  <sheetFormatPr defaultColWidth="11" defaultRowHeight="15.5" x14ac:dyDescent="0.35"/>
  <cols>
    <col min="8" max="8" width="10.83203125" style="43"/>
  </cols>
  <sheetData>
    <row r="1" spans="1:8" s="50" customFormat="1" ht="26" x14ac:dyDescent="0.6">
      <c r="A1" s="50" t="s">
        <v>44</v>
      </c>
    </row>
    <row r="2" spans="1:8" ht="16" customHeight="1" x14ac:dyDescent="0.6">
      <c r="A2" s="5"/>
      <c r="B2" s="6"/>
      <c r="C2" s="6"/>
      <c r="D2" s="6"/>
    </row>
    <row r="3" spans="1:8" s="49" customFormat="1" x14ac:dyDescent="0.35">
      <c r="A3" s="49" t="s">
        <v>39</v>
      </c>
    </row>
    <row r="5" spans="1:8" x14ac:dyDescent="0.35">
      <c r="A5" s="41">
        <v>71</v>
      </c>
      <c r="B5" s="41">
        <v>9</v>
      </c>
      <c r="C5" s="41">
        <v>2</v>
      </c>
      <c r="D5" s="41">
        <v>15</v>
      </c>
      <c r="E5" s="41">
        <v>20</v>
      </c>
      <c r="F5" s="41">
        <v>7</v>
      </c>
      <c r="G5" s="41">
        <v>17</v>
      </c>
      <c r="H5" s="44"/>
    </row>
    <row r="6" spans="1:8" x14ac:dyDescent="0.35">
      <c r="A6" s="41">
        <v>9</v>
      </c>
      <c r="B6" s="41">
        <v>15</v>
      </c>
      <c r="C6" s="41">
        <v>37</v>
      </c>
      <c r="D6" s="41">
        <v>3</v>
      </c>
      <c r="E6" s="41">
        <v>10</v>
      </c>
      <c r="F6" s="41">
        <v>78</v>
      </c>
      <c r="G6" s="41">
        <v>29</v>
      </c>
      <c r="H6" s="44"/>
    </row>
    <row r="7" spans="1:8" x14ac:dyDescent="0.35">
      <c r="A7" s="41">
        <v>73</v>
      </c>
      <c r="B7" s="41">
        <v>47</v>
      </c>
      <c r="C7" s="41">
        <v>5</v>
      </c>
      <c r="D7" s="41">
        <v>33</v>
      </c>
      <c r="E7" s="41">
        <v>25</v>
      </c>
      <c r="F7" s="41">
        <v>6</v>
      </c>
      <c r="G7" s="41">
        <v>64</v>
      </c>
      <c r="H7" s="44"/>
    </row>
    <row r="8" spans="1:8" x14ac:dyDescent="0.35">
      <c r="A8" s="41">
        <v>36</v>
      </c>
      <c r="B8" s="41">
        <v>8</v>
      </c>
      <c r="C8" s="41">
        <v>24</v>
      </c>
      <c r="D8" s="41">
        <v>4</v>
      </c>
      <c r="E8" s="41">
        <v>2</v>
      </c>
      <c r="F8" s="41">
        <v>11</v>
      </c>
      <c r="G8" s="41">
        <v>15</v>
      </c>
      <c r="H8" s="44"/>
    </row>
    <row r="9" spans="1:8" x14ac:dyDescent="0.35">
      <c r="A9" s="41">
        <v>20</v>
      </c>
      <c r="B9" s="41">
        <v>43</v>
      </c>
      <c r="C9" s="41">
        <v>68</v>
      </c>
      <c r="D9" s="41">
        <v>57</v>
      </c>
      <c r="E9" s="41">
        <v>55</v>
      </c>
      <c r="F9" s="41">
        <v>35</v>
      </c>
      <c r="G9" s="41">
        <v>63</v>
      </c>
      <c r="H9" s="44"/>
    </row>
    <row r="10" spans="1:8" x14ac:dyDescent="0.35">
      <c r="A10" s="41">
        <v>56</v>
      </c>
      <c r="B10" s="41">
        <v>38</v>
      </c>
      <c r="C10" s="41">
        <v>8</v>
      </c>
      <c r="D10" s="41">
        <v>6</v>
      </c>
      <c r="E10" s="41">
        <v>26</v>
      </c>
      <c r="F10" s="41">
        <v>24</v>
      </c>
      <c r="G10" s="41">
        <v>27</v>
      </c>
      <c r="H10" s="44"/>
    </row>
    <row r="11" spans="1:8" x14ac:dyDescent="0.35">
      <c r="A11" s="41">
        <v>39</v>
      </c>
      <c r="B11" s="41">
        <v>21</v>
      </c>
      <c r="C11" s="41">
        <v>36</v>
      </c>
      <c r="D11" s="41">
        <v>34</v>
      </c>
      <c r="E11" s="41">
        <v>31</v>
      </c>
      <c r="F11" s="41">
        <v>40</v>
      </c>
      <c r="G11" s="41">
        <v>44</v>
      </c>
      <c r="H11" s="44"/>
    </row>
    <row r="12" spans="1:8" x14ac:dyDescent="0.35">
      <c r="A12" s="41">
        <v>7</v>
      </c>
      <c r="B12" s="41">
        <v>1</v>
      </c>
      <c r="C12" s="41">
        <v>50</v>
      </c>
      <c r="D12" s="41">
        <v>32</v>
      </c>
      <c r="E12" s="41">
        <v>9</v>
      </c>
      <c r="F12" s="41">
        <v>28</v>
      </c>
      <c r="G12" s="41">
        <v>30</v>
      </c>
      <c r="H12" s="44"/>
    </row>
    <row r="13" spans="1:8" x14ac:dyDescent="0.35">
      <c r="A13" s="41">
        <v>99</v>
      </c>
      <c r="B13" s="41">
        <v>14</v>
      </c>
      <c r="C13" s="41">
        <v>6</v>
      </c>
      <c r="D13" s="41">
        <v>3</v>
      </c>
      <c r="E13" s="41">
        <v>49</v>
      </c>
      <c r="F13" s="41">
        <v>83</v>
      </c>
      <c r="G13" s="41">
        <v>74</v>
      </c>
      <c r="H13" s="44"/>
    </row>
    <row r="14" spans="1:8" x14ac:dyDescent="0.35">
      <c r="A14" s="41">
        <v>60</v>
      </c>
      <c r="B14" s="41">
        <v>4</v>
      </c>
      <c r="C14" s="41">
        <v>61</v>
      </c>
      <c r="D14" s="41">
        <v>32</v>
      </c>
      <c r="E14" s="41">
        <v>19</v>
      </c>
      <c r="F14" s="41">
        <v>20</v>
      </c>
      <c r="G14" s="41">
        <v>51</v>
      </c>
      <c r="H14" s="44"/>
    </row>
    <row r="16" spans="1:8" s="49" customFormat="1" x14ac:dyDescent="0.35">
      <c r="A16" s="49" t="s">
        <v>38</v>
      </c>
    </row>
    <row r="18" spans="1:8" x14ac:dyDescent="0.35">
      <c r="A18" s="41">
        <v>71</v>
      </c>
      <c r="B18" s="41">
        <v>9</v>
      </c>
      <c r="C18" s="41">
        <v>2</v>
      </c>
      <c r="D18" s="41">
        <v>15</v>
      </c>
      <c r="E18" s="41">
        <v>20</v>
      </c>
      <c r="F18" s="41">
        <v>7</v>
      </c>
      <c r="G18" s="41">
        <v>17</v>
      </c>
      <c r="H18" s="44"/>
    </row>
    <row r="19" spans="1:8" x14ac:dyDescent="0.35">
      <c r="A19" s="41">
        <v>9</v>
      </c>
      <c r="B19" s="41">
        <v>15</v>
      </c>
      <c r="C19" s="41">
        <v>37</v>
      </c>
      <c r="D19" s="41">
        <v>3</v>
      </c>
      <c r="E19" s="41">
        <v>10</v>
      </c>
      <c r="F19" s="41">
        <v>78</v>
      </c>
      <c r="G19" s="41">
        <v>29</v>
      </c>
      <c r="H19" s="44"/>
    </row>
    <row r="20" spans="1:8" x14ac:dyDescent="0.35">
      <c r="A20" s="41">
        <v>73</v>
      </c>
      <c r="B20" s="41">
        <v>47</v>
      </c>
      <c r="C20" s="41">
        <v>5</v>
      </c>
      <c r="D20" s="41">
        <v>33</v>
      </c>
      <c r="E20" s="41">
        <v>25</v>
      </c>
      <c r="F20" s="41">
        <v>6</v>
      </c>
      <c r="G20" s="41">
        <v>64</v>
      </c>
      <c r="H20" s="44"/>
    </row>
    <row r="21" spans="1:8" x14ac:dyDescent="0.35">
      <c r="A21" s="41">
        <v>36</v>
      </c>
      <c r="B21" s="41">
        <v>8</v>
      </c>
      <c r="C21" s="41">
        <v>24</v>
      </c>
      <c r="D21" s="41">
        <v>4</v>
      </c>
      <c r="E21" s="41">
        <v>2</v>
      </c>
      <c r="F21" s="41">
        <v>11</v>
      </c>
      <c r="G21" s="41">
        <v>15</v>
      </c>
      <c r="H21" s="44"/>
    </row>
    <row r="22" spans="1:8" x14ac:dyDescent="0.35">
      <c r="A22" s="41">
        <v>20</v>
      </c>
      <c r="B22" s="41">
        <v>43</v>
      </c>
      <c r="C22" s="41">
        <v>68</v>
      </c>
      <c r="D22" s="41">
        <v>57</v>
      </c>
      <c r="E22" s="41">
        <v>55</v>
      </c>
      <c r="F22" s="41">
        <v>35</v>
      </c>
      <c r="G22" s="41">
        <v>63</v>
      </c>
      <c r="H22" s="44"/>
    </row>
    <row r="23" spans="1:8" x14ac:dyDescent="0.35">
      <c r="A23" s="41">
        <v>56</v>
      </c>
      <c r="B23" s="41">
        <v>38</v>
      </c>
      <c r="C23" s="41">
        <v>8</v>
      </c>
      <c r="D23" s="41">
        <v>6</v>
      </c>
      <c r="E23" s="41">
        <v>26</v>
      </c>
      <c r="F23" s="41">
        <v>24</v>
      </c>
      <c r="G23" s="41">
        <v>27</v>
      </c>
      <c r="H23" s="44"/>
    </row>
    <row r="24" spans="1:8" x14ac:dyDescent="0.35">
      <c r="A24" s="41">
        <v>39</v>
      </c>
      <c r="B24" s="41">
        <v>21</v>
      </c>
      <c r="C24" s="41">
        <v>36</v>
      </c>
      <c r="D24" s="41">
        <v>34</v>
      </c>
      <c r="E24" s="41">
        <v>31</v>
      </c>
      <c r="F24" s="41">
        <v>40</v>
      </c>
      <c r="G24" s="41">
        <v>44</v>
      </c>
      <c r="H24" s="44"/>
    </row>
    <row r="25" spans="1:8" x14ac:dyDescent="0.35">
      <c r="A25" s="41">
        <v>7</v>
      </c>
      <c r="B25" s="41">
        <v>1</v>
      </c>
      <c r="C25" s="41">
        <v>50</v>
      </c>
      <c r="D25" s="41">
        <v>32</v>
      </c>
      <c r="E25" s="41">
        <v>9</v>
      </c>
      <c r="F25" s="41">
        <v>28</v>
      </c>
      <c r="G25" s="41">
        <v>30</v>
      </c>
      <c r="H25" s="44"/>
    </row>
    <row r="26" spans="1:8" x14ac:dyDescent="0.35">
      <c r="A26" s="41">
        <v>99</v>
      </c>
      <c r="B26" s="41">
        <v>14</v>
      </c>
      <c r="C26" s="41">
        <v>6</v>
      </c>
      <c r="D26" s="41">
        <v>3</v>
      </c>
      <c r="E26" s="41">
        <v>49</v>
      </c>
      <c r="F26" s="41">
        <v>83</v>
      </c>
      <c r="G26" s="41">
        <v>74</v>
      </c>
      <c r="H26" s="44"/>
    </row>
    <row r="27" spans="1:8" x14ac:dyDescent="0.35">
      <c r="A27" s="41">
        <v>60</v>
      </c>
      <c r="B27" s="41">
        <v>4</v>
      </c>
      <c r="C27" s="41">
        <v>61</v>
      </c>
      <c r="D27" s="41">
        <v>32</v>
      </c>
      <c r="E27" s="41">
        <v>19</v>
      </c>
      <c r="F27" s="41">
        <v>20</v>
      </c>
      <c r="G27" s="41">
        <v>51</v>
      </c>
      <c r="H27" s="44"/>
    </row>
  </sheetData>
  <mergeCells count="3">
    <mergeCell ref="A1:XFD1"/>
    <mergeCell ref="A3:XFD3"/>
    <mergeCell ref="A16:XFD16"/>
  </mergeCell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22" operator="containsText" id="{E4A6B77D-5912-8443-A2ED-23E8ED375382}">
            <xm:f>NOT(ISERROR(SEARCH(MAX(A5:G5),H5)))</xm:f>
            <xm:f>MAX(A5:G5)</xm:f>
            <x14:dxf>
              <font>
                <color rgb="FF006100"/>
              </font>
              <fill>
                <patternFill>
                  <bgColor rgb="FFC6EFCE"/>
                </patternFill>
              </fill>
            </x14:dxf>
          </x14:cfRule>
          <xm:sqref>H5</xm:sqref>
        </x14:conditionalFormatting>
        <x14:conditionalFormatting xmlns:xm="http://schemas.microsoft.com/office/excel/2006/main">
          <x14:cfRule type="containsText" priority="12" operator="containsText" id="{39E4BF8F-B620-6E4F-B140-74C15AC5C3AE}">
            <xm:f>NOT(ISERROR(SEARCH(MIN(A18:G18),H18)))</xm:f>
            <xm:f>MIN(A18:G18)</xm:f>
            <x14:dxf>
              <font>
                <color rgb="FF006100"/>
              </font>
              <fill>
                <patternFill>
                  <bgColor rgb="FFC6EFCE"/>
                </patternFill>
              </fill>
            </x14:dxf>
          </x14:cfRule>
          <xm:sqref>H18</xm:sqref>
        </x14:conditionalFormatting>
        <x14:conditionalFormatting xmlns:xm="http://schemas.microsoft.com/office/excel/2006/main">
          <x14:cfRule type="containsText" priority="2" operator="containsText" id="{74542FF2-28AE-F74C-AB8D-DE1EBCA1657A}">
            <xm:f>NOT(ISERROR(SEARCH(MAX(A6:G6),H6)))</xm:f>
            <xm:f>MAX(A6:G6)</xm:f>
            <x14:dxf>
              <font>
                <color rgb="FF006100"/>
              </font>
              <fill>
                <patternFill>
                  <bgColor rgb="FFC6EFCE"/>
                </patternFill>
              </fill>
            </x14:dxf>
          </x14:cfRule>
          <xm:sqref>H6:H14</xm:sqref>
        </x14:conditionalFormatting>
        <x14:conditionalFormatting xmlns:xm="http://schemas.microsoft.com/office/excel/2006/main">
          <x14:cfRule type="containsText" priority="1" operator="containsText" id="{A10FC6E3-99C6-1145-929A-C86CC058D0DA}">
            <xm:f>NOT(ISERROR(SEARCH(MIN(A19:G19),H19)))</xm:f>
            <xm:f>MIN(A19:G19)</xm:f>
            <x14:dxf>
              <font>
                <color rgb="FF006100"/>
              </font>
              <fill>
                <patternFill>
                  <bgColor rgb="FFC6EFCE"/>
                </patternFill>
              </fill>
            </x14:dxf>
          </x14:cfRule>
          <xm:sqref>H19:H27</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7F9A2-01C6-E647-98C1-A31EC11BF1CB}">
  <dimension ref="A1:D15"/>
  <sheetViews>
    <sheetView zoomScaleNormal="100" workbookViewId="0">
      <selection activeCell="D6" sqref="D6"/>
    </sheetView>
  </sheetViews>
  <sheetFormatPr defaultColWidth="11" defaultRowHeight="15.5" x14ac:dyDescent="0.35"/>
  <sheetData>
    <row r="1" spans="1:4" s="51" customFormat="1" ht="26" x14ac:dyDescent="0.6">
      <c r="A1" s="51" t="s">
        <v>45</v>
      </c>
    </row>
    <row r="2" spans="1:4" ht="16" customHeight="1" x14ac:dyDescent="0.6">
      <c r="A2" s="5"/>
      <c r="B2" s="6"/>
      <c r="C2" s="6"/>
      <c r="D2" s="6"/>
    </row>
    <row r="3" spans="1:4" s="49" customFormat="1" x14ac:dyDescent="0.35">
      <c r="A3" s="49" t="s">
        <v>96</v>
      </c>
    </row>
    <row r="4" spans="1:4" s="49" customFormat="1" x14ac:dyDescent="0.35">
      <c r="A4" s="49" t="s">
        <v>82</v>
      </c>
    </row>
    <row r="6" spans="1:4" x14ac:dyDescent="0.35">
      <c r="A6" s="2">
        <f t="shared" ref="A6:A15" ca="1" si="0">ROUND(RAND()*100,0)</f>
        <v>78</v>
      </c>
      <c r="C6" s="3" t="s">
        <v>0</v>
      </c>
      <c r="D6" s="4"/>
    </row>
    <row r="7" spans="1:4" x14ac:dyDescent="0.35">
      <c r="A7" s="2">
        <f t="shared" ca="1" si="0"/>
        <v>21</v>
      </c>
      <c r="C7" s="3" t="s">
        <v>1</v>
      </c>
      <c r="D7" s="4"/>
    </row>
    <row r="8" spans="1:4" x14ac:dyDescent="0.35">
      <c r="A8" s="2">
        <f t="shared" ca="1" si="0"/>
        <v>71</v>
      </c>
      <c r="C8" s="3" t="s">
        <v>2</v>
      </c>
      <c r="D8" s="4"/>
    </row>
    <row r="9" spans="1:4" x14ac:dyDescent="0.35">
      <c r="A9" s="2">
        <f t="shared" ca="1" si="0"/>
        <v>83</v>
      </c>
      <c r="C9" s="3" t="s">
        <v>3</v>
      </c>
      <c r="D9" s="4"/>
    </row>
    <row r="10" spans="1:4" x14ac:dyDescent="0.35">
      <c r="A10" s="2">
        <f t="shared" ca="1" si="0"/>
        <v>52</v>
      </c>
    </row>
    <row r="11" spans="1:4" x14ac:dyDescent="0.35">
      <c r="A11" s="2">
        <f t="shared" ca="1" si="0"/>
        <v>4</v>
      </c>
    </row>
    <row r="12" spans="1:4" x14ac:dyDescent="0.35">
      <c r="A12" s="2">
        <f t="shared" ca="1" si="0"/>
        <v>35</v>
      </c>
    </row>
    <row r="13" spans="1:4" x14ac:dyDescent="0.35">
      <c r="A13" s="2">
        <f t="shared" ca="1" si="0"/>
        <v>9</v>
      </c>
    </row>
    <row r="14" spans="1:4" x14ac:dyDescent="0.35">
      <c r="A14" s="2">
        <f t="shared" ca="1" si="0"/>
        <v>87</v>
      </c>
    </row>
    <row r="15" spans="1:4" x14ac:dyDescent="0.35">
      <c r="A15" s="2">
        <f t="shared" ca="1" si="0"/>
        <v>7</v>
      </c>
    </row>
  </sheetData>
  <mergeCells count="3">
    <mergeCell ref="A3:XFD3"/>
    <mergeCell ref="A4:XFD4"/>
    <mergeCell ref="A1:XFD1"/>
  </mergeCell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4" operator="containsText" id="{E4158E00-A85F-B24C-9864-A42197421D5A}">
            <xm:f>NOT(ISERROR(SEARCH(SUM(A6:A15),D6)))</xm:f>
            <xm:f>SUM(A6:A15)</xm:f>
            <x14:dxf>
              <font>
                <color rgb="FF006100"/>
              </font>
              <fill>
                <patternFill>
                  <bgColor rgb="FFC6EFCE"/>
                </patternFill>
              </fill>
            </x14:dxf>
          </x14:cfRule>
          <xm:sqref>D6</xm:sqref>
        </x14:conditionalFormatting>
        <x14:conditionalFormatting xmlns:xm="http://schemas.microsoft.com/office/excel/2006/main">
          <x14:cfRule type="containsText" priority="3" operator="containsText" id="{4F3BB5AE-65C6-AB4C-BEDE-D80C0F933E3F}">
            <xm:f>NOT(ISERROR(SEARCH(AVERAGE(A6:A15),D7)))</xm:f>
            <xm:f>AVERAGE(A6:A15)</xm:f>
            <x14:dxf>
              <font>
                <color rgb="FF006100"/>
              </font>
              <fill>
                <patternFill>
                  <bgColor rgb="FFC6EFCE"/>
                </patternFill>
              </fill>
            </x14:dxf>
          </x14:cfRule>
          <xm:sqref>D7</xm:sqref>
        </x14:conditionalFormatting>
        <x14:conditionalFormatting xmlns:xm="http://schemas.microsoft.com/office/excel/2006/main">
          <x14:cfRule type="containsText" priority="2" operator="containsText" id="{75D9808F-AE2C-DC41-8617-A6680133BBDC}">
            <xm:f>NOT(ISERROR(SEARCH(MAX(A6:A15),D8)))</xm:f>
            <xm:f>MAX(A6:A15)</xm:f>
            <x14:dxf>
              <font>
                <color rgb="FF006100"/>
              </font>
              <fill>
                <patternFill>
                  <bgColor rgb="FFC6EFCE"/>
                </patternFill>
              </fill>
            </x14:dxf>
          </x14:cfRule>
          <xm:sqref>D8</xm:sqref>
        </x14:conditionalFormatting>
        <x14:conditionalFormatting xmlns:xm="http://schemas.microsoft.com/office/excel/2006/main">
          <x14:cfRule type="containsText" priority="1" operator="containsText" id="{E2474F73-3E21-5A48-8707-4D16F95BB449}">
            <xm:f>NOT(ISERROR(SEARCH(MIN(A6:A15),D9)))</xm:f>
            <xm:f>MIN(A6:A15)</xm:f>
            <x14:dxf>
              <font>
                <color rgb="FF006100"/>
              </font>
              <fill>
                <patternFill>
                  <bgColor rgb="FFC6EFCE"/>
                </patternFill>
              </fill>
            </x14:dxf>
          </x14:cfRule>
          <xm:sqref>D9</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A1FD4-7FE3-8646-A49E-7817A2600F84}">
  <dimension ref="A1:K32"/>
  <sheetViews>
    <sheetView topLeftCell="A7" zoomScaleNormal="100" workbookViewId="0">
      <selection activeCell="F24" sqref="F24"/>
    </sheetView>
  </sheetViews>
  <sheetFormatPr defaultColWidth="10.83203125" defaultRowHeight="15.5" x14ac:dyDescent="0.35"/>
  <cols>
    <col min="1" max="1" width="17.33203125" style="9" customWidth="1"/>
    <col min="2" max="16384" width="10.83203125" style="9"/>
  </cols>
  <sheetData>
    <row r="1" spans="1:9" s="50" customFormat="1" ht="26" x14ac:dyDescent="0.6">
      <c r="A1" s="50" t="s">
        <v>46</v>
      </c>
    </row>
    <row r="3" spans="1:9" s="52" customFormat="1" x14ac:dyDescent="0.35">
      <c r="A3" s="52" t="s">
        <v>26</v>
      </c>
    </row>
    <row r="5" spans="1:9" s="54" customFormat="1" x14ac:dyDescent="0.35">
      <c r="A5" s="54" t="s">
        <v>28</v>
      </c>
    </row>
    <row r="6" spans="1:9" s="29" customFormat="1" x14ac:dyDescent="0.35"/>
    <row r="7" spans="1:9" s="54" customFormat="1" x14ac:dyDescent="0.35">
      <c r="A7" s="54" t="s">
        <v>67</v>
      </c>
    </row>
    <row r="9" spans="1:9" s="1" customFormat="1" x14ac:dyDescent="0.35">
      <c r="A9" s="57" t="s">
        <v>27</v>
      </c>
      <c r="B9" s="55" t="s">
        <v>49</v>
      </c>
      <c r="C9" s="55"/>
      <c r="D9" s="55"/>
      <c r="E9" s="55"/>
      <c r="F9" s="55"/>
      <c r="G9" s="55"/>
      <c r="H9" s="55"/>
      <c r="I9" s="56" t="s">
        <v>50</v>
      </c>
    </row>
    <row r="10" spans="1:9" s="1" customFormat="1" x14ac:dyDescent="0.35">
      <c r="A10" s="58"/>
      <c r="B10" s="33" t="s">
        <v>19</v>
      </c>
      <c r="C10" s="33" t="s">
        <v>20</v>
      </c>
      <c r="D10" s="33" t="s">
        <v>21</v>
      </c>
      <c r="E10" s="33" t="s">
        <v>22</v>
      </c>
      <c r="F10" s="33" t="s">
        <v>23</v>
      </c>
      <c r="G10" s="33" t="s">
        <v>24</v>
      </c>
      <c r="H10" s="33" t="s">
        <v>25</v>
      </c>
      <c r="I10" s="56"/>
    </row>
    <row r="11" spans="1:9" x14ac:dyDescent="0.35">
      <c r="A11" s="32" t="s">
        <v>68</v>
      </c>
      <c r="B11" s="31">
        <v>800</v>
      </c>
      <c r="C11" s="31">
        <v>2700</v>
      </c>
      <c r="D11" s="31">
        <v>2100</v>
      </c>
      <c r="E11" s="31">
        <v>400</v>
      </c>
      <c r="F11" s="31">
        <v>350</v>
      </c>
      <c r="G11" s="31">
        <v>200</v>
      </c>
      <c r="H11" s="31">
        <v>250</v>
      </c>
      <c r="I11" s="28"/>
    </row>
    <row r="12" spans="1:9" x14ac:dyDescent="0.35">
      <c r="A12" s="32" t="s">
        <v>69</v>
      </c>
      <c r="B12" s="31">
        <v>500</v>
      </c>
      <c r="C12" s="31">
        <v>2000</v>
      </c>
      <c r="D12" s="31">
        <v>1500</v>
      </c>
      <c r="E12" s="31">
        <v>200</v>
      </c>
      <c r="F12" s="31">
        <v>250</v>
      </c>
      <c r="G12" s="31">
        <v>100</v>
      </c>
      <c r="H12" s="31">
        <v>150</v>
      </c>
      <c r="I12" s="28"/>
    </row>
    <row r="13" spans="1:9" x14ac:dyDescent="0.35">
      <c r="A13" s="32" t="s">
        <v>70</v>
      </c>
      <c r="B13" s="31">
        <v>100</v>
      </c>
      <c r="C13" s="31">
        <v>250</v>
      </c>
      <c r="D13" s="31">
        <v>200</v>
      </c>
      <c r="E13" s="31">
        <v>75</v>
      </c>
      <c r="F13" s="31">
        <v>300</v>
      </c>
      <c r="G13" s="31">
        <v>50</v>
      </c>
      <c r="H13" s="31">
        <v>50</v>
      </c>
      <c r="I13" s="28"/>
    </row>
    <row r="14" spans="1:9" x14ac:dyDescent="0.35">
      <c r="A14" s="32" t="s">
        <v>71</v>
      </c>
      <c r="B14" s="31">
        <v>500</v>
      </c>
      <c r="C14" s="31">
        <v>1500</v>
      </c>
      <c r="D14" s="31">
        <v>1400</v>
      </c>
      <c r="E14" s="31">
        <v>300</v>
      </c>
      <c r="F14" s="31">
        <v>200</v>
      </c>
      <c r="G14" s="31">
        <v>100</v>
      </c>
      <c r="H14" s="31">
        <v>200</v>
      </c>
      <c r="I14" s="28"/>
    </row>
    <row r="15" spans="1:9" x14ac:dyDescent="0.35">
      <c r="A15" s="32" t="s">
        <v>72</v>
      </c>
      <c r="B15" s="31">
        <v>750</v>
      </c>
      <c r="C15" s="31">
        <v>1000</v>
      </c>
      <c r="D15" s="31">
        <v>850</v>
      </c>
      <c r="E15" s="31">
        <v>450</v>
      </c>
      <c r="F15" s="31">
        <v>150</v>
      </c>
      <c r="G15" s="31">
        <v>75</v>
      </c>
      <c r="H15" s="31">
        <v>100</v>
      </c>
      <c r="I15" s="28"/>
    </row>
    <row r="16" spans="1:9" x14ac:dyDescent="0.35">
      <c r="A16" s="32" t="s">
        <v>73</v>
      </c>
      <c r="B16" s="31">
        <v>950</v>
      </c>
      <c r="C16" s="31">
        <v>900</v>
      </c>
      <c r="D16" s="31">
        <v>850</v>
      </c>
      <c r="E16" s="31">
        <v>400</v>
      </c>
      <c r="F16" s="31">
        <v>350</v>
      </c>
      <c r="G16" s="31">
        <v>250</v>
      </c>
      <c r="H16" s="31">
        <v>400</v>
      </c>
      <c r="I16" s="28"/>
    </row>
    <row r="17" spans="1:11" x14ac:dyDescent="0.35">
      <c r="A17" s="32" t="s">
        <v>74</v>
      </c>
      <c r="B17" s="31">
        <v>650</v>
      </c>
      <c r="C17" s="31">
        <v>1100</v>
      </c>
      <c r="D17" s="31">
        <v>650</v>
      </c>
      <c r="E17" s="31">
        <v>325</v>
      </c>
      <c r="F17" s="31">
        <v>250</v>
      </c>
      <c r="G17" s="31">
        <v>25</v>
      </c>
      <c r="H17" s="31">
        <v>250</v>
      </c>
      <c r="I17" s="28"/>
    </row>
    <row r="18" spans="1:11" ht="18" customHeight="1" x14ac:dyDescent="0.35">
      <c r="A18" s="34" t="s">
        <v>51</v>
      </c>
      <c r="B18" s="28"/>
      <c r="C18" s="28"/>
      <c r="D18" s="28"/>
      <c r="E18" s="28"/>
      <c r="F18" s="28"/>
      <c r="G18" s="28"/>
      <c r="H18" s="28"/>
      <c r="I18" s="30"/>
    </row>
    <row r="19" spans="1:11" x14ac:dyDescent="0.35">
      <c r="K19" s="10"/>
    </row>
    <row r="20" spans="1:11" s="29" customFormat="1" x14ac:dyDescent="0.35">
      <c r="A20" s="29" t="s">
        <v>18</v>
      </c>
    </row>
    <row r="21" spans="1:11" x14ac:dyDescent="0.35">
      <c r="A21" s="27"/>
    </row>
    <row r="22" spans="1:11" x14ac:dyDescent="0.35">
      <c r="A22" s="52" t="s">
        <v>41</v>
      </c>
      <c r="B22" s="52"/>
      <c r="C22" s="52"/>
      <c r="D22" s="52"/>
      <c r="E22" s="53"/>
      <c r="F22" s="35"/>
    </row>
    <row r="24" spans="1:11" x14ac:dyDescent="0.35">
      <c r="A24" s="52" t="s">
        <v>40</v>
      </c>
      <c r="B24" s="52"/>
      <c r="C24" s="52"/>
      <c r="D24" s="52"/>
      <c r="E24" s="53"/>
      <c r="F24" s="35"/>
    </row>
    <row r="26" spans="1:11" x14ac:dyDescent="0.35">
      <c r="A26" s="27"/>
    </row>
    <row r="28" spans="1:11" x14ac:dyDescent="0.35">
      <c r="A28" s="27"/>
    </row>
    <row r="30" spans="1:11" x14ac:dyDescent="0.35">
      <c r="A30" s="27"/>
    </row>
    <row r="32" spans="1:11" x14ac:dyDescent="0.35">
      <c r="A32" s="27"/>
    </row>
  </sheetData>
  <mergeCells count="9">
    <mergeCell ref="A22:E22"/>
    <mergeCell ref="A24:E24"/>
    <mergeCell ref="A5:XFD5"/>
    <mergeCell ref="A7:XFD7"/>
    <mergeCell ref="A1:XFD1"/>
    <mergeCell ref="A3:XFD3"/>
    <mergeCell ref="B9:H9"/>
    <mergeCell ref="I9:I10"/>
    <mergeCell ref="A9:A10"/>
  </mergeCell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6" operator="containsText" id="{C2383E93-E304-0749-8154-6217DA798558}">
            <xm:f>NOT(ISERROR(SEARCH(SUM(B11:H11),I11)))</xm:f>
            <xm:f>SUM(B11:H11)</xm:f>
            <x14:dxf>
              <font>
                <color rgb="FF006100"/>
              </font>
              <fill>
                <patternFill>
                  <bgColor rgb="FFC6EFCE"/>
                </patternFill>
              </fill>
            </x14:dxf>
          </x14:cfRule>
          <xm:sqref>I11</xm:sqref>
        </x14:conditionalFormatting>
        <x14:conditionalFormatting xmlns:xm="http://schemas.microsoft.com/office/excel/2006/main">
          <x14:cfRule type="containsText" priority="15" operator="containsText" id="{D7D1AE63-E7BF-D243-9251-AC992B936FEF}">
            <xm:f>NOT(ISERROR(SEARCH(SUM(B12:H12),I12)))</xm:f>
            <xm:f>SUM(B12:H12)</xm:f>
            <x14:dxf>
              <font>
                <color rgb="FF006100"/>
              </font>
              <fill>
                <patternFill>
                  <bgColor rgb="FFC6EFCE"/>
                </patternFill>
              </fill>
            </x14:dxf>
          </x14:cfRule>
          <xm:sqref>I12</xm:sqref>
        </x14:conditionalFormatting>
        <x14:conditionalFormatting xmlns:xm="http://schemas.microsoft.com/office/excel/2006/main">
          <x14:cfRule type="containsText" priority="14" operator="containsText" id="{008B5931-77E9-0A43-BECA-F4E510D6D1CD}">
            <xm:f>NOT(ISERROR(SEARCH(SUM(B13:H13),I13)))</xm:f>
            <xm:f>SUM(B13:H13)</xm:f>
            <x14:dxf>
              <font>
                <color rgb="FF006100"/>
              </font>
              <fill>
                <patternFill>
                  <bgColor rgb="FFC6EFCE"/>
                </patternFill>
              </fill>
            </x14:dxf>
          </x14:cfRule>
          <xm:sqref>I13</xm:sqref>
        </x14:conditionalFormatting>
        <x14:conditionalFormatting xmlns:xm="http://schemas.microsoft.com/office/excel/2006/main">
          <x14:cfRule type="containsText" priority="13" operator="containsText" id="{46C54DBD-AC91-1544-A31D-E06BBB4BDE75}">
            <xm:f>NOT(ISERROR(SEARCH(SUM(B14:H14),I14)))</xm:f>
            <xm:f>SUM(B14:H14)</xm:f>
            <x14:dxf>
              <font>
                <color rgb="FF006100"/>
              </font>
              <fill>
                <patternFill>
                  <bgColor rgb="FFC6EFCE"/>
                </patternFill>
              </fill>
            </x14:dxf>
          </x14:cfRule>
          <xm:sqref>I14</xm:sqref>
        </x14:conditionalFormatting>
        <x14:conditionalFormatting xmlns:xm="http://schemas.microsoft.com/office/excel/2006/main">
          <x14:cfRule type="containsText" priority="12" operator="containsText" id="{9A59050A-48BB-EF4F-A477-B46DBE961974}">
            <xm:f>NOT(ISERROR(SEARCH(SUM(B15:H15),I15)))</xm:f>
            <xm:f>SUM(B15:H15)</xm:f>
            <x14:dxf>
              <font>
                <color rgb="FF006100"/>
              </font>
              <fill>
                <patternFill>
                  <bgColor rgb="FFC6EFCE"/>
                </patternFill>
              </fill>
            </x14:dxf>
          </x14:cfRule>
          <xm:sqref>I15</xm:sqref>
        </x14:conditionalFormatting>
        <x14:conditionalFormatting xmlns:xm="http://schemas.microsoft.com/office/excel/2006/main">
          <x14:cfRule type="containsText" priority="11" operator="containsText" id="{F5F3B7B1-F9E0-B34E-A6C2-E751835DB399}">
            <xm:f>NOT(ISERROR(SEARCH(SUM(B16:H16),I16)))</xm:f>
            <xm:f>SUM(B16:H16)</xm:f>
            <x14:dxf>
              <font>
                <color rgb="FF006100"/>
              </font>
              <fill>
                <patternFill>
                  <bgColor rgb="FFC6EFCE"/>
                </patternFill>
              </fill>
            </x14:dxf>
          </x14:cfRule>
          <xm:sqref>I16</xm:sqref>
        </x14:conditionalFormatting>
        <x14:conditionalFormatting xmlns:xm="http://schemas.microsoft.com/office/excel/2006/main">
          <x14:cfRule type="containsText" priority="10" operator="containsText" id="{81A7F33D-258D-664C-9227-D4ECC7A2683A}">
            <xm:f>NOT(ISERROR(SEARCH(SUM(B17:H17),I17)))</xm:f>
            <xm:f>SUM(B17:H17)</xm:f>
            <x14:dxf>
              <font>
                <color rgb="FF006100"/>
              </font>
              <fill>
                <patternFill>
                  <bgColor rgb="FFC6EFCE"/>
                </patternFill>
              </fill>
            </x14:dxf>
          </x14:cfRule>
          <xm:sqref>I17</xm:sqref>
        </x14:conditionalFormatting>
        <x14:conditionalFormatting xmlns:xm="http://schemas.microsoft.com/office/excel/2006/main">
          <x14:cfRule type="containsText" priority="9" operator="containsText" id="{F83017C7-03AE-3542-B53D-532153218383}">
            <xm:f>NOT(ISERROR(SEARCH(AVERAGE(B11:B17),B18)))</xm:f>
            <xm:f>AVERAGE(B11:B17)</xm:f>
            <x14:dxf>
              <font>
                <color rgb="FF006100"/>
              </font>
              <fill>
                <patternFill>
                  <bgColor rgb="FFC6EFCE"/>
                </patternFill>
              </fill>
            </x14:dxf>
          </x14:cfRule>
          <xm:sqref>B18</xm:sqref>
        </x14:conditionalFormatting>
        <x14:conditionalFormatting xmlns:xm="http://schemas.microsoft.com/office/excel/2006/main">
          <x14:cfRule type="containsText" priority="8" operator="containsText" id="{249E34A8-ED6E-5441-8071-91057448CEB5}">
            <xm:f>NOT(ISERROR(SEARCH(AVERAGE(C11:C17),C18)))</xm:f>
            <xm:f>AVERAGE(C11:C17)</xm:f>
            <x14:dxf>
              <font>
                <color rgb="FF006100"/>
              </font>
              <fill>
                <patternFill>
                  <bgColor rgb="FFC6EFCE"/>
                </patternFill>
              </fill>
            </x14:dxf>
          </x14:cfRule>
          <xm:sqref>C18</xm:sqref>
        </x14:conditionalFormatting>
        <x14:conditionalFormatting xmlns:xm="http://schemas.microsoft.com/office/excel/2006/main">
          <x14:cfRule type="containsText" priority="7" operator="containsText" id="{E3DE317E-B177-BD44-ABB7-02CF8947CDA5}">
            <xm:f>NOT(ISERROR(SEARCH(AVERAGE(D11:D17),D18)))</xm:f>
            <xm:f>AVERAGE(D11:D17)</xm:f>
            <x14:dxf>
              <font>
                <color rgb="FF006100"/>
              </font>
              <fill>
                <patternFill>
                  <bgColor rgb="FFC6EFCE"/>
                </patternFill>
              </fill>
            </x14:dxf>
          </x14:cfRule>
          <xm:sqref>D18</xm:sqref>
        </x14:conditionalFormatting>
        <x14:conditionalFormatting xmlns:xm="http://schemas.microsoft.com/office/excel/2006/main">
          <x14:cfRule type="containsText" priority="6" operator="containsText" id="{62FFD73C-A214-ED47-8712-2729208637B3}">
            <xm:f>NOT(ISERROR(SEARCH(AVERAGE(E11:E17),E18)))</xm:f>
            <xm:f>AVERAGE(E11:E17)</xm:f>
            <x14:dxf>
              <font>
                <color rgb="FF006100"/>
              </font>
              <fill>
                <patternFill>
                  <bgColor rgb="FFC6EFCE"/>
                </patternFill>
              </fill>
            </x14:dxf>
          </x14:cfRule>
          <xm:sqref>E18</xm:sqref>
        </x14:conditionalFormatting>
        <x14:conditionalFormatting xmlns:xm="http://schemas.microsoft.com/office/excel/2006/main">
          <x14:cfRule type="containsText" priority="5" operator="containsText" id="{C05A3918-DF78-A843-B130-632F5412B000}">
            <xm:f>NOT(ISERROR(SEARCH(AVERAGE(F11:F17),F18)))</xm:f>
            <xm:f>AVERAGE(F11:F17)</xm:f>
            <x14:dxf>
              <font>
                <color rgb="FF006100"/>
              </font>
              <fill>
                <patternFill>
                  <bgColor rgb="FFC6EFCE"/>
                </patternFill>
              </fill>
            </x14:dxf>
          </x14:cfRule>
          <xm:sqref>F18</xm:sqref>
        </x14:conditionalFormatting>
        <x14:conditionalFormatting xmlns:xm="http://schemas.microsoft.com/office/excel/2006/main">
          <x14:cfRule type="containsText" priority="4" operator="containsText" id="{42E502FD-BBE2-2549-87FE-92D3B2233BBD}">
            <xm:f>NOT(ISERROR(SEARCH(AVERAGE(G11:G17),G18)))</xm:f>
            <xm:f>AVERAGE(G11:G17)</xm:f>
            <x14:dxf>
              <font>
                <color rgb="FF006100"/>
              </font>
              <fill>
                <patternFill>
                  <bgColor rgb="FFC6EFCE"/>
                </patternFill>
              </fill>
            </x14:dxf>
          </x14:cfRule>
          <xm:sqref>G18</xm:sqref>
        </x14:conditionalFormatting>
        <x14:conditionalFormatting xmlns:xm="http://schemas.microsoft.com/office/excel/2006/main">
          <x14:cfRule type="containsText" priority="3" operator="containsText" id="{B9AC60A0-D950-A149-A257-431A4F02040C}">
            <xm:f>NOT(ISERROR(SEARCH(AVERAGE(H11:H17),H18)))</xm:f>
            <xm:f>AVERAGE(H11:H17)</xm:f>
            <x14:dxf>
              <font>
                <color rgb="FF006100"/>
              </font>
              <fill>
                <patternFill>
                  <bgColor rgb="FFC6EFCE"/>
                </patternFill>
              </fill>
            </x14:dxf>
          </x14:cfRule>
          <xm:sqref>H18</xm:sqref>
        </x14:conditionalFormatting>
        <x14:conditionalFormatting xmlns:xm="http://schemas.microsoft.com/office/excel/2006/main">
          <x14:cfRule type="containsText" priority="2" operator="containsText" id="{366C2075-68D5-114B-886D-9B9EBABC2422}">
            <xm:f>NOT(ISERROR(SEARCH(MIN(B11:H17),F22)))</xm:f>
            <xm:f>MIN(B11:H17)</xm:f>
            <x14:dxf>
              <font>
                <color rgb="FF006100"/>
              </font>
              <fill>
                <patternFill>
                  <bgColor rgb="FFC6EFCE"/>
                </patternFill>
              </fill>
            </x14:dxf>
          </x14:cfRule>
          <xm:sqref>F22</xm:sqref>
        </x14:conditionalFormatting>
        <x14:conditionalFormatting xmlns:xm="http://schemas.microsoft.com/office/excel/2006/main">
          <x14:cfRule type="containsText" priority="1" operator="containsText" id="{02F364B7-818D-7A46-A77A-4A3218349365}">
            <xm:f>NOT(ISERROR(SEARCH(MAX(B11:H17),F24)))</xm:f>
            <xm:f>MAX(B11:H17)</xm:f>
            <x14:dxf>
              <font>
                <color rgb="FF006100"/>
              </font>
              <fill>
                <patternFill>
                  <bgColor rgb="FFC6EFCE"/>
                </patternFill>
              </fill>
            </x14:dxf>
          </x14:cfRule>
          <xm:sqref>F24</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339BA-87A7-7444-AF36-667ECCD55F73}">
  <dimension ref="A1:K30"/>
  <sheetViews>
    <sheetView zoomScaleNormal="100" workbookViewId="0">
      <selection activeCell="F31" sqref="F31"/>
    </sheetView>
  </sheetViews>
  <sheetFormatPr defaultColWidth="10.83203125" defaultRowHeight="15.5" x14ac:dyDescent="0.35"/>
  <cols>
    <col min="1" max="5" width="10.83203125" style="9"/>
    <col min="6" max="6" width="8.1640625" style="9" customWidth="1"/>
    <col min="7" max="16384" width="10.83203125" style="9"/>
  </cols>
  <sheetData>
    <row r="1" spans="1:11" s="62" customFormat="1" ht="26" x14ac:dyDescent="0.6">
      <c r="A1" s="62" t="s">
        <v>66</v>
      </c>
    </row>
    <row r="3" spans="1:11" x14ac:dyDescent="0.35">
      <c r="A3" s="9" t="s">
        <v>4</v>
      </c>
    </row>
    <row r="4" spans="1:11" x14ac:dyDescent="0.35">
      <c r="A4" s="9" t="s">
        <v>48</v>
      </c>
    </row>
    <row r="6" spans="1:11" s="29" customFormat="1" x14ac:dyDescent="0.35">
      <c r="A6" s="29" t="s">
        <v>5</v>
      </c>
    </row>
    <row r="7" spans="1:11" s="29" customFormat="1" x14ac:dyDescent="0.35">
      <c r="A7" s="29" t="s">
        <v>29</v>
      </c>
    </row>
    <row r="8" spans="1:11" ht="16" thickBot="1" x14ac:dyDescent="0.4"/>
    <row r="9" spans="1:11" ht="16" thickBot="1" x14ac:dyDescent="0.4">
      <c r="A9" s="11" t="s">
        <v>6</v>
      </c>
      <c r="B9" s="12" t="s">
        <v>7</v>
      </c>
      <c r="C9" s="13" t="s">
        <v>8</v>
      </c>
      <c r="D9" s="14" t="s">
        <v>9</v>
      </c>
      <c r="E9" s="15" t="s">
        <v>10</v>
      </c>
      <c r="G9" s="63" t="s">
        <v>7</v>
      </c>
      <c r="H9" s="64"/>
      <c r="I9" s="64"/>
      <c r="J9" s="64"/>
      <c r="K9" s="65"/>
    </row>
    <row r="10" spans="1:11" x14ac:dyDescent="0.35">
      <c r="A10" s="16">
        <v>1</v>
      </c>
      <c r="B10" s="17">
        <v>5</v>
      </c>
      <c r="C10" s="18">
        <v>1</v>
      </c>
      <c r="D10" s="19">
        <v>3</v>
      </c>
      <c r="E10" s="7">
        <v>5</v>
      </c>
      <c r="G10" s="66" t="s">
        <v>11</v>
      </c>
      <c r="H10" s="67"/>
      <c r="I10" s="67"/>
      <c r="J10" s="67"/>
      <c r="K10" s="68"/>
    </row>
    <row r="11" spans="1:11" x14ac:dyDescent="0.35">
      <c r="A11" s="20">
        <v>2</v>
      </c>
      <c r="B11" s="17">
        <v>5</v>
      </c>
      <c r="C11" s="21">
        <f>C10+1</f>
        <v>2</v>
      </c>
      <c r="D11" s="22">
        <f>D10+0.5</f>
        <v>3.5</v>
      </c>
      <c r="E11" s="8">
        <f>E10+0.1</f>
        <v>5.0999999999999996</v>
      </c>
      <c r="G11" s="23"/>
      <c r="H11" s="23"/>
      <c r="I11" s="23"/>
      <c r="J11" s="23"/>
      <c r="K11" s="23"/>
    </row>
    <row r="12" spans="1:11" x14ac:dyDescent="0.35">
      <c r="A12" s="20">
        <v>3</v>
      </c>
      <c r="B12" s="17">
        <v>5</v>
      </c>
      <c r="C12" s="21">
        <f t="shared" ref="C12:C19" si="0">C11+1</f>
        <v>3</v>
      </c>
      <c r="D12" s="22">
        <f t="shared" ref="D12:D19" si="1">D11+0.5</f>
        <v>4</v>
      </c>
      <c r="E12" s="8">
        <f t="shared" ref="E12:E19" si="2">E11+0.1</f>
        <v>5.1999999999999993</v>
      </c>
      <c r="G12" s="69" t="s">
        <v>8</v>
      </c>
      <c r="H12" s="70"/>
      <c r="I12" s="70"/>
      <c r="J12" s="70"/>
      <c r="K12" s="71"/>
    </row>
    <row r="13" spans="1:11" x14ac:dyDescent="0.35">
      <c r="A13" s="20">
        <v>4</v>
      </c>
      <c r="B13" s="17">
        <v>5</v>
      </c>
      <c r="C13" s="21">
        <f t="shared" si="0"/>
        <v>4</v>
      </c>
      <c r="D13" s="22">
        <f t="shared" si="1"/>
        <v>4.5</v>
      </c>
      <c r="E13" s="8">
        <f t="shared" si="2"/>
        <v>5.2999999999999989</v>
      </c>
      <c r="G13" s="72" t="s">
        <v>12</v>
      </c>
      <c r="H13" s="73"/>
      <c r="I13" s="73"/>
      <c r="J13" s="73"/>
      <c r="K13" s="74"/>
    </row>
    <row r="14" spans="1:11" x14ac:dyDescent="0.35">
      <c r="A14" s="20">
        <v>5</v>
      </c>
      <c r="B14" s="17">
        <v>5</v>
      </c>
      <c r="C14" s="21">
        <f t="shared" si="0"/>
        <v>5</v>
      </c>
      <c r="D14" s="22">
        <f t="shared" si="1"/>
        <v>5</v>
      </c>
      <c r="E14" s="8">
        <f t="shared" si="2"/>
        <v>5.3999999999999986</v>
      </c>
      <c r="G14" s="75" t="s">
        <v>97</v>
      </c>
      <c r="H14" s="76"/>
      <c r="I14" s="76"/>
      <c r="J14" s="76"/>
      <c r="K14" s="77"/>
    </row>
    <row r="15" spans="1:11" x14ac:dyDescent="0.35">
      <c r="A15" s="20">
        <v>6</v>
      </c>
      <c r="B15" s="17">
        <v>5</v>
      </c>
      <c r="C15" s="21">
        <f t="shared" si="0"/>
        <v>6</v>
      </c>
      <c r="D15" s="22">
        <f t="shared" si="1"/>
        <v>5.5</v>
      </c>
      <c r="E15" s="8">
        <f t="shared" si="2"/>
        <v>5.4999999999999982</v>
      </c>
      <c r="G15" s="23"/>
      <c r="H15" s="23"/>
      <c r="I15" s="23"/>
      <c r="J15" s="23"/>
      <c r="K15" s="23"/>
    </row>
    <row r="16" spans="1:11" x14ac:dyDescent="0.35">
      <c r="A16" s="20">
        <v>7</v>
      </c>
      <c r="B16" s="17">
        <v>5</v>
      </c>
      <c r="C16" s="21">
        <f t="shared" si="0"/>
        <v>7</v>
      </c>
      <c r="D16" s="22">
        <f t="shared" si="1"/>
        <v>6</v>
      </c>
      <c r="E16" s="8">
        <f t="shared" si="2"/>
        <v>5.5999999999999979</v>
      </c>
      <c r="G16" s="59" t="s">
        <v>9</v>
      </c>
      <c r="H16" s="60"/>
      <c r="I16" s="60"/>
      <c r="J16" s="60"/>
      <c r="K16" s="61"/>
    </row>
    <row r="17" spans="1:11" x14ac:dyDescent="0.35">
      <c r="A17" s="20">
        <v>8</v>
      </c>
      <c r="B17" s="17">
        <v>5</v>
      </c>
      <c r="C17" s="21">
        <f t="shared" si="0"/>
        <v>8</v>
      </c>
      <c r="D17" s="22">
        <f t="shared" si="1"/>
        <v>6.5</v>
      </c>
      <c r="E17" s="8">
        <f t="shared" si="2"/>
        <v>5.6999999999999975</v>
      </c>
      <c r="G17" s="78" t="s">
        <v>17</v>
      </c>
      <c r="H17" s="79"/>
      <c r="I17" s="79"/>
      <c r="J17" s="79"/>
      <c r="K17" s="80"/>
    </row>
    <row r="18" spans="1:11" x14ac:dyDescent="0.35">
      <c r="A18" s="20">
        <v>9</v>
      </c>
      <c r="B18" s="17">
        <v>5</v>
      </c>
      <c r="C18" s="21">
        <f t="shared" si="0"/>
        <v>9</v>
      </c>
      <c r="D18" s="22">
        <f t="shared" si="1"/>
        <v>7</v>
      </c>
      <c r="E18" s="8">
        <f t="shared" si="2"/>
        <v>5.7999999999999972</v>
      </c>
      <c r="G18" s="81" t="s">
        <v>98</v>
      </c>
      <c r="H18" s="82"/>
      <c r="I18" s="82"/>
      <c r="J18" s="82"/>
      <c r="K18" s="83"/>
    </row>
    <row r="19" spans="1:11" ht="16" thickBot="1" x14ac:dyDescent="0.4">
      <c r="A19" s="24">
        <v>10</v>
      </c>
      <c r="B19" s="17">
        <v>5</v>
      </c>
      <c r="C19" s="21">
        <f t="shared" si="0"/>
        <v>10</v>
      </c>
      <c r="D19" s="22">
        <f t="shared" si="1"/>
        <v>7.5</v>
      </c>
      <c r="E19" s="8">
        <f t="shared" si="2"/>
        <v>5.8999999999999968</v>
      </c>
      <c r="G19" s="23"/>
      <c r="H19" s="23"/>
      <c r="I19" s="23"/>
      <c r="J19" s="23"/>
      <c r="K19" s="23"/>
    </row>
    <row r="20" spans="1:11" ht="16" thickBot="1" x14ac:dyDescent="0.4">
      <c r="A20" s="25" t="s">
        <v>14</v>
      </c>
      <c r="B20" s="26">
        <f>SUM(B10:B19)</f>
        <v>50</v>
      </c>
      <c r="C20" s="26">
        <f>SUM(C10:C19)</f>
        <v>55</v>
      </c>
      <c r="D20" s="26">
        <f>SUM(D10:D19)</f>
        <v>52.5</v>
      </c>
      <c r="E20" s="26">
        <f>SUM(E10:E19)</f>
        <v>54.499999999999986</v>
      </c>
      <c r="G20" s="84" t="s">
        <v>10</v>
      </c>
      <c r="H20" s="85"/>
      <c r="I20" s="85"/>
      <c r="J20" s="85"/>
      <c r="K20" s="86"/>
    </row>
    <row r="21" spans="1:11" x14ac:dyDescent="0.35">
      <c r="G21" s="87" t="s">
        <v>13</v>
      </c>
      <c r="H21" s="88"/>
      <c r="I21" s="88"/>
      <c r="J21" s="88"/>
      <c r="K21" s="89"/>
    </row>
    <row r="22" spans="1:11" x14ac:dyDescent="0.35">
      <c r="G22" s="90" t="s">
        <v>99</v>
      </c>
      <c r="H22" s="91"/>
      <c r="I22" s="91"/>
      <c r="J22" s="91"/>
      <c r="K22" s="92"/>
    </row>
    <row r="24" spans="1:11" s="29" customFormat="1" x14ac:dyDescent="0.35">
      <c r="A24" s="29" t="s">
        <v>18</v>
      </c>
    </row>
    <row r="25" spans="1:11" x14ac:dyDescent="0.35">
      <c r="A25" s="10"/>
    </row>
    <row r="26" spans="1:11" x14ac:dyDescent="0.35">
      <c r="A26" s="27" t="s">
        <v>15</v>
      </c>
      <c r="F26" s="28">
        <f>MIN(B20:E20)</f>
        <v>50</v>
      </c>
    </row>
    <row r="28" spans="1:11" x14ac:dyDescent="0.35">
      <c r="A28" s="27" t="s">
        <v>16</v>
      </c>
      <c r="F28" s="28">
        <f>MAX(B20:E20)</f>
        <v>55</v>
      </c>
    </row>
    <row r="30" spans="1:11" x14ac:dyDescent="0.35">
      <c r="A30" s="27" t="s">
        <v>81</v>
      </c>
      <c r="F30" s="28">
        <f>AVERAGE(B20:E20)</f>
        <v>53</v>
      </c>
    </row>
  </sheetData>
  <mergeCells count="12">
    <mergeCell ref="G17:K17"/>
    <mergeCell ref="G18:K18"/>
    <mergeCell ref="G20:K20"/>
    <mergeCell ref="G21:K21"/>
    <mergeCell ref="G22:K22"/>
    <mergeCell ref="G16:K16"/>
    <mergeCell ref="A1:XFD1"/>
    <mergeCell ref="G9:K9"/>
    <mergeCell ref="G10:K10"/>
    <mergeCell ref="G12:K12"/>
    <mergeCell ref="G13:K13"/>
    <mergeCell ref="G14:K14"/>
  </mergeCells>
  <conditionalFormatting sqref="B20:E20">
    <cfRule type="cellIs" dxfId="22" priority="7" operator="equal">
      <formula>50</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3" operator="containsText" id="{8910EDEF-8FB1-5D41-B481-DE4D049A4EF3}">
            <xm:f>NOT(ISERROR(SEARCH(MIN(B20:E20),F26)))</xm:f>
            <xm:f>MIN(B20:E20)</xm:f>
            <x14:dxf>
              <font>
                <color rgb="FF006100"/>
              </font>
              <fill>
                <patternFill>
                  <bgColor rgb="FFC6EFCE"/>
                </patternFill>
              </fill>
            </x14:dxf>
          </x14:cfRule>
          <xm:sqref>F26</xm:sqref>
        </x14:conditionalFormatting>
        <x14:conditionalFormatting xmlns:xm="http://schemas.microsoft.com/office/excel/2006/main">
          <x14:cfRule type="containsText" priority="2" operator="containsText" id="{FD9C4E85-152C-AE4C-B0C6-C2FE42FFFC92}">
            <xm:f>NOT(ISERROR(SEARCH(MAX(B20:E20),F28)))</xm:f>
            <xm:f>MAX(B20:E20)</xm:f>
            <x14:dxf>
              <font>
                <color rgb="FF006100"/>
              </font>
              <fill>
                <patternFill>
                  <bgColor rgb="FFC6EFCE"/>
                </patternFill>
              </fill>
            </x14:dxf>
          </x14:cfRule>
          <xm:sqref>F28</xm:sqref>
        </x14:conditionalFormatting>
        <x14:conditionalFormatting xmlns:xm="http://schemas.microsoft.com/office/excel/2006/main">
          <x14:cfRule type="containsText" priority="1" operator="containsText" id="{7A322479-942B-C04D-B63F-52089ED16386}">
            <xm:f>NOT(ISERROR(SEARCH(AVERAGE(B20:E20),F30)))</xm:f>
            <xm:f>AVERAGE(B20:E20)</xm:f>
            <x14:dxf>
              <font>
                <color rgb="FF006100"/>
              </font>
              <fill>
                <patternFill>
                  <bgColor rgb="FFC6EFCE"/>
                </patternFill>
              </fill>
            </x14:dxf>
          </x14:cfRule>
          <xm:sqref>F30</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300E5-B96E-F245-ABD1-F6F95C2FDD56}">
  <dimension ref="A1:E38"/>
  <sheetViews>
    <sheetView tabSelected="1" zoomScaleNormal="100" workbookViewId="0">
      <selection activeCell="A4" sqref="A4"/>
    </sheetView>
  </sheetViews>
  <sheetFormatPr defaultColWidth="10.83203125" defaultRowHeight="15.5" x14ac:dyDescent="0.35"/>
  <cols>
    <col min="1" max="1" width="10.83203125" style="9"/>
    <col min="2" max="2" width="28" style="9" bestFit="1" customWidth="1"/>
    <col min="3" max="3" width="7.33203125" style="36" bestFit="1" customWidth="1"/>
    <col min="4" max="4" width="10.83203125" style="9"/>
    <col min="5" max="5" width="20.33203125" style="9" bestFit="1" customWidth="1"/>
    <col min="6" max="16384" width="10.83203125" style="9"/>
  </cols>
  <sheetData>
    <row r="1" spans="1:3" s="62" customFormat="1" ht="26" x14ac:dyDescent="0.6">
      <c r="A1" s="62" t="s">
        <v>47</v>
      </c>
    </row>
    <row r="3" spans="1:3" s="52" customFormat="1" x14ac:dyDescent="0.35">
      <c r="A3" s="52" t="s">
        <v>75</v>
      </c>
    </row>
    <row r="5" spans="1:3" x14ac:dyDescent="0.35">
      <c r="B5" s="45" t="s">
        <v>30</v>
      </c>
      <c r="C5" s="46" t="s">
        <v>31</v>
      </c>
    </row>
    <row r="6" spans="1:3" x14ac:dyDescent="0.35">
      <c r="B6" s="38" t="s">
        <v>52</v>
      </c>
      <c r="C6" s="40">
        <v>0.65</v>
      </c>
    </row>
    <row r="7" spans="1:3" x14ac:dyDescent="0.35">
      <c r="B7" s="38" t="s">
        <v>83</v>
      </c>
      <c r="C7" s="40">
        <v>1</v>
      </c>
    </row>
    <row r="8" spans="1:3" x14ac:dyDescent="0.35">
      <c r="B8" s="38" t="s">
        <v>84</v>
      </c>
      <c r="C8" s="40">
        <v>0.56999999999999995</v>
      </c>
    </row>
    <row r="9" spans="1:3" x14ac:dyDescent="0.35">
      <c r="B9" s="38" t="s">
        <v>85</v>
      </c>
      <c r="C9" s="40">
        <v>1.58</v>
      </c>
    </row>
    <row r="10" spans="1:3" x14ac:dyDescent="0.35">
      <c r="B10" s="38" t="s">
        <v>64</v>
      </c>
      <c r="C10" s="40">
        <v>1</v>
      </c>
    </row>
    <row r="11" spans="1:3" x14ac:dyDescent="0.35">
      <c r="B11" s="38" t="s">
        <v>94</v>
      </c>
      <c r="C11" s="40">
        <v>0.86</v>
      </c>
    </row>
    <row r="12" spans="1:3" x14ac:dyDescent="0.35">
      <c r="B12" s="38" t="s">
        <v>86</v>
      </c>
      <c r="C12" s="40">
        <v>1.81</v>
      </c>
    </row>
    <row r="13" spans="1:3" x14ac:dyDescent="0.35">
      <c r="B13" s="38" t="s">
        <v>87</v>
      </c>
      <c r="C13" s="40">
        <v>1.18</v>
      </c>
    </row>
    <row r="14" spans="1:3" x14ac:dyDescent="0.35">
      <c r="B14" s="38" t="s">
        <v>88</v>
      </c>
      <c r="C14" s="40">
        <v>0.49</v>
      </c>
    </row>
    <row r="15" spans="1:3" x14ac:dyDescent="0.35">
      <c r="B15" s="38" t="s">
        <v>53</v>
      </c>
      <c r="C15" s="40">
        <v>0.79</v>
      </c>
    </row>
    <row r="16" spans="1:3" x14ac:dyDescent="0.35">
      <c r="B16" s="38" t="s">
        <v>54</v>
      </c>
      <c r="C16" s="40">
        <v>0.28000000000000003</v>
      </c>
    </row>
    <row r="18" spans="1:5" s="54" customFormat="1" x14ac:dyDescent="0.35">
      <c r="A18" s="54" t="s">
        <v>79</v>
      </c>
    </row>
    <row r="19" spans="1:5" s="93" customFormat="1" x14ac:dyDescent="0.35">
      <c r="A19" s="93" t="s">
        <v>95</v>
      </c>
    </row>
    <row r="20" spans="1:5" s="29" customFormat="1" x14ac:dyDescent="0.35">
      <c r="A20" s="47"/>
      <c r="B20" s="47"/>
      <c r="C20" s="47"/>
      <c r="D20" s="47"/>
      <c r="E20" s="47"/>
    </row>
    <row r="21" spans="1:5" s="93" customFormat="1" x14ac:dyDescent="0.35">
      <c r="A21" s="93" t="s">
        <v>77</v>
      </c>
    </row>
    <row r="22" spans="1:5" s="93" customFormat="1" x14ac:dyDescent="0.35">
      <c r="A22" s="93" t="s">
        <v>35</v>
      </c>
    </row>
    <row r="23" spans="1:5" s="29" customFormat="1" x14ac:dyDescent="0.35">
      <c r="A23" s="47"/>
      <c r="B23" s="47"/>
      <c r="C23" s="48"/>
      <c r="D23" s="47"/>
      <c r="E23" s="47"/>
    </row>
    <row r="24" spans="1:5" s="93" customFormat="1" x14ac:dyDescent="0.35">
      <c r="A24" s="93" t="s">
        <v>80</v>
      </c>
    </row>
    <row r="26" spans="1:5" x14ac:dyDescent="0.35">
      <c r="A26" s="45" t="s">
        <v>76</v>
      </c>
      <c r="B26" s="45" t="s">
        <v>30</v>
      </c>
      <c r="C26" s="46" t="s">
        <v>31</v>
      </c>
      <c r="E26" s="37" t="s">
        <v>55</v>
      </c>
    </row>
    <row r="27" spans="1:5" x14ac:dyDescent="0.35">
      <c r="A27" s="35">
        <v>1</v>
      </c>
      <c r="B27" s="38" t="s">
        <v>32</v>
      </c>
      <c r="C27" s="22">
        <f>A27*C7</f>
        <v>1</v>
      </c>
      <c r="E27" s="38" t="s">
        <v>89</v>
      </c>
    </row>
    <row r="28" spans="1:5" x14ac:dyDescent="0.35">
      <c r="A28" s="35">
        <v>1</v>
      </c>
      <c r="B28" s="38" t="s">
        <v>57</v>
      </c>
      <c r="C28" s="22">
        <f t="shared" ref="C28:C33" si="0">A28*C8</f>
        <v>0.56999999999999995</v>
      </c>
      <c r="E28" s="38" t="s">
        <v>90</v>
      </c>
    </row>
    <row r="29" spans="1:5" x14ac:dyDescent="0.35">
      <c r="A29" s="35">
        <v>1</v>
      </c>
      <c r="B29" s="38" t="s">
        <v>33</v>
      </c>
      <c r="C29" s="22">
        <f t="shared" si="0"/>
        <v>1.58</v>
      </c>
      <c r="E29" s="38" t="s">
        <v>34</v>
      </c>
    </row>
    <row r="30" spans="1:5" x14ac:dyDescent="0.35">
      <c r="A30" s="35">
        <v>1</v>
      </c>
      <c r="B30" s="38" t="s">
        <v>58</v>
      </c>
      <c r="C30" s="22">
        <f t="shared" si="0"/>
        <v>1</v>
      </c>
      <c r="E30" s="38" t="s">
        <v>91</v>
      </c>
    </row>
    <row r="31" spans="1:5" x14ac:dyDescent="0.35">
      <c r="A31" s="35">
        <v>1</v>
      </c>
      <c r="B31" s="38" t="s">
        <v>59</v>
      </c>
      <c r="C31" s="22">
        <f t="shared" si="0"/>
        <v>0.86</v>
      </c>
      <c r="E31" s="38" t="s">
        <v>56</v>
      </c>
    </row>
    <row r="32" spans="1:5" x14ac:dyDescent="0.35">
      <c r="A32" s="35">
        <v>2</v>
      </c>
      <c r="B32" s="38" t="s">
        <v>60</v>
      </c>
      <c r="C32" s="22">
        <f t="shared" si="0"/>
        <v>3.62</v>
      </c>
      <c r="E32" s="38" t="s">
        <v>92</v>
      </c>
    </row>
    <row r="33" spans="1:5" x14ac:dyDescent="0.35">
      <c r="A33" s="35">
        <v>1</v>
      </c>
      <c r="B33" s="38" t="s">
        <v>61</v>
      </c>
      <c r="C33" s="22">
        <f t="shared" si="0"/>
        <v>1.18</v>
      </c>
      <c r="E33" s="38" t="s">
        <v>93</v>
      </c>
    </row>
    <row r="34" spans="1:5" x14ac:dyDescent="0.35">
      <c r="B34" s="37" t="s">
        <v>62</v>
      </c>
      <c r="C34" s="39">
        <f>SUM(C27:C33)</f>
        <v>9.81</v>
      </c>
    </row>
    <row r="35" spans="1:5" x14ac:dyDescent="0.35">
      <c r="B35" s="38" t="s">
        <v>65</v>
      </c>
      <c r="C35" s="40">
        <v>10</v>
      </c>
    </row>
    <row r="36" spans="1:5" x14ac:dyDescent="0.35">
      <c r="B36" s="37" t="s">
        <v>63</v>
      </c>
      <c r="C36" s="39">
        <f>C35-C34</f>
        <v>0.1899999999999995</v>
      </c>
    </row>
    <row r="38" spans="1:5" s="54" customFormat="1" x14ac:dyDescent="0.35">
      <c r="A38" s="54" t="s">
        <v>78</v>
      </c>
    </row>
  </sheetData>
  <mergeCells count="8">
    <mergeCell ref="A1:XFD1"/>
    <mergeCell ref="A3:XFD3"/>
    <mergeCell ref="A18:XFD18"/>
    <mergeCell ref="A38:XFD38"/>
    <mergeCell ref="A19:XFD19"/>
    <mergeCell ref="A21:XFD21"/>
    <mergeCell ref="A22:XFD22"/>
    <mergeCell ref="A24:XFD24"/>
  </mergeCells>
  <conditionalFormatting sqref="A27">
    <cfRule type="cellIs" dxfId="15" priority="7" operator="equal">
      <formula>1</formula>
    </cfRule>
  </conditionalFormatting>
  <conditionalFormatting sqref="A28">
    <cfRule type="cellIs" dxfId="14" priority="6" operator="equal">
      <formula>1</formula>
    </cfRule>
  </conditionalFormatting>
  <conditionalFormatting sqref="A29">
    <cfRule type="cellIs" dxfId="13" priority="5" operator="equal">
      <formula>1</formula>
    </cfRule>
  </conditionalFormatting>
  <conditionalFormatting sqref="A30">
    <cfRule type="cellIs" dxfId="12" priority="4" operator="equal">
      <formula>1</formula>
    </cfRule>
  </conditionalFormatting>
  <conditionalFormatting sqref="A31">
    <cfRule type="cellIs" dxfId="11" priority="3" operator="equal">
      <formula>1</formula>
    </cfRule>
  </conditionalFormatting>
  <conditionalFormatting sqref="A33">
    <cfRule type="cellIs" dxfId="10" priority="2" operator="equal">
      <formula>1</formula>
    </cfRule>
  </conditionalFormatting>
  <conditionalFormatting sqref="A32">
    <cfRule type="cellIs" dxfId="9" priority="1" operator="equal">
      <formula>2</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6" operator="containsText" id="{0FF66921-9896-C948-BC53-6A16846D8E85}">
            <xm:f>NOT(ISERROR(SEARCH(C7,C27)))</xm:f>
            <xm:f>C7</xm:f>
            <x14:dxf>
              <font>
                <color rgb="FF006100"/>
              </font>
              <fill>
                <patternFill>
                  <bgColor rgb="FFC6EFCE"/>
                </patternFill>
              </fill>
            </x14:dxf>
          </x14:cfRule>
          <xm:sqref>C27:C33</xm:sqref>
        </x14:conditionalFormatting>
        <x14:conditionalFormatting xmlns:xm="http://schemas.microsoft.com/office/excel/2006/main">
          <x14:cfRule type="containsText" priority="9" operator="containsText" id="{94EFA57E-51DC-2242-B839-C6C879D93501}">
            <xm:f>NOT(ISERROR(SEARCH(SUM(C27:C33),C34)))</xm:f>
            <xm:f>SUM(C27:C33)</xm:f>
            <x14:dxf>
              <font>
                <color rgb="FF006100"/>
              </font>
              <fill>
                <patternFill>
                  <bgColor rgb="FFC6EFCE"/>
                </patternFill>
              </fill>
            </x14:dxf>
          </x14:cfRule>
          <xm:sqref>C34</xm:sqref>
        </x14:conditionalFormatting>
        <x14:conditionalFormatting xmlns:xm="http://schemas.microsoft.com/office/excel/2006/main">
          <x14:cfRule type="containsText" priority="8" operator="containsText" id="{6B5C71CA-D54C-F545-AC00-196AFA13BE0F}">
            <xm:f>NOT(ISERROR(SEARCH(C35-C34,C36)))</xm:f>
            <xm:f>C35-C34</xm:f>
            <x14:dxf>
              <font>
                <color rgb="FF006100"/>
              </font>
              <fill>
                <patternFill>
                  <bgColor rgb="FFC6EFCE"/>
                </patternFill>
              </fill>
            </x14:dxf>
          </x14:cfRule>
          <xm:sqref>C36</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Activity 2.1</vt:lpstr>
      <vt:lpstr>Activity 2.2</vt:lpstr>
      <vt:lpstr>Activity 2.3</vt:lpstr>
      <vt:lpstr>Activity 2.4</vt:lpstr>
      <vt:lpstr>Activity 2.5</vt:lpstr>
      <vt:lpstr>Activity 2.6</vt:lpstr>
      <vt:lpstr>Activity 2.7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Tamar Zedginidze</cp:lastModifiedBy>
  <dcterms:created xsi:type="dcterms:W3CDTF">2020-06-08T14:01:48Z</dcterms:created>
  <dcterms:modified xsi:type="dcterms:W3CDTF">2025-05-04T14:46:02Z</dcterms:modified>
</cp:coreProperties>
</file>