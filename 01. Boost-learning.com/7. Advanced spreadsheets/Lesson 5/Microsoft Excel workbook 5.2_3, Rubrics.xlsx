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BGA\Grade 7\Unit 2 - Advanced spreadsheets\"/>
    </mc:Choice>
  </mc:AlternateContent>
  <xr:revisionPtr revIDLastSave="0" documentId="13_ncr:1_{DB63A27B-5BA1-40FF-AB9E-6225BC8DCC03}" xr6:coauthVersionLast="45" xr6:coauthVersionMax="47" xr10:uidLastSave="{00000000-0000-0000-0000-000000000000}"/>
  <bookViews>
    <workbookView xWindow="-110" yWindow="-110" windowWidth="19420" windowHeight="10300" activeTab="2" xr2:uid="{00000000-000D-0000-FFFF-FFFF00000000}"/>
  </bookViews>
  <sheets>
    <sheet name="Activity 5.1" sheetId="1" r:id="rId1"/>
    <sheet name="Activity 5.2" sheetId="2" r:id="rId2"/>
    <sheet name="Rubrics" sheetId="3" r:id="rId3"/>
  </sheets>
  <definedNames>
    <definedName name="Answers1">'Activity 5.2'!$M$14:$M$16</definedName>
    <definedName name="Answers2">'Activity 5.2'!$M$19:$M$21</definedName>
    <definedName name="Answers3">'Activity 5.2'!$M$24:$M$27</definedName>
    <definedName name="Answers4">'Activity 5.2'!$M$29:$M$32</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39" i="2" l="1"/>
  <c r="D37" i="2"/>
  <c r="D38" i="2"/>
  <c r="D36" i="2"/>
  <c r="D35" i="2"/>
  <c r="C19" i="2"/>
  <c r="C14" i="2"/>
  <c r="C29" i="2"/>
  <c r="N14" i="2" a="1"/>
  <c r="N14" i="2" s="1"/>
  <c r="C24" i="2"/>
  <c r="N19" i="2" a="1"/>
  <c r="N19" i="2" s="1"/>
  <c r="N21" i="2"/>
  <c r="N20" i="2"/>
  <c r="N16" i="2"/>
  <c r="N15"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<sst xmlns="http://schemas.openxmlformats.org/spreadsheetml/2006/main" count="119" uniqueCount="85">
  <si>
    <t>Activity 5.1: Quiz questions</t>
  </si>
  <si>
    <t>Part 1</t>
  </si>
  <si>
    <t>Complete the table below to identify four questions that will use drop-down lists, together with three possible answers for each question and feedback for each answer.</t>
  </si>
  <si>
    <t>Question Number</t>
  </si>
  <si>
    <t>Question</t>
  </si>
  <si>
    <t>Answers</t>
  </si>
  <si>
    <t>Feedback</t>
  </si>
  <si>
    <t>Part 2</t>
  </si>
  <si>
    <t>Complete the table below to identify one question that will use check boxes.</t>
  </si>
  <si>
    <t>Include five different answers that the user will select from. Indicate which three answers must be selected for the answer to be correct.</t>
  </si>
  <si>
    <t>Must be selected?</t>
  </si>
  <si>
    <t>Activity 5.2: Quiz</t>
  </si>
  <si>
    <t>Enter your first question in cell A14.</t>
  </si>
  <si>
    <t>Enter the list of possible answers to Question 1 in cells M14 to M16. Make sure that they are in alphabetical/numerical order.</t>
  </si>
  <si>
    <t>Enter the feedback for each answer in the adjacent cells in column N.</t>
  </si>
  <si>
    <t>In cell B14 create a drop-down list of the possible answers for Question 1.</t>
  </si>
  <si>
    <t>In cell C14 write a VLOOKUP function to give the correct feedback for the answer selected in B14.</t>
  </si>
  <si>
    <t>Complete the steps above for Questions 2, 3 and 4 using appropriate cells on the spreadsheet.</t>
  </si>
  <si>
    <t>If necessary, resize the columns so that all of text appears within each cell.</t>
  </si>
  <si>
    <t>Question 1</t>
  </si>
  <si>
    <t>Question 2</t>
  </si>
  <si>
    <t>Question 3</t>
  </si>
  <si>
    <t>Question 4</t>
  </si>
  <si>
    <t>Question 5</t>
  </si>
  <si>
    <t>SCORE</t>
  </si>
  <si>
    <t>Enter your last question in cell A34.</t>
  </si>
  <si>
    <t>Enter the list of possible answers to Question 5 in cells A35 to A43. Leave an empty row between each answer.</t>
  </si>
  <si>
    <t>Create check boxes in column B alongside each answer. Link each check box to the cell in the same row in column M.</t>
  </si>
  <si>
    <t>Write an IF function in cell C35 to show "Correct!" if the correct three cells have been selected or "No. That's not correct." if the selection is incorrect in any way. You will need to use AND to check the status of the cell linked to every check box to ensure that only the correct three boxes have been selected.</t>
  </si>
  <si>
    <t>Part 3</t>
  </si>
  <si>
    <t>Write an IF function in cell K14 to award 1 mark if the answer in B14 is correct and 0 marks if it is incorrect.</t>
  </si>
  <si>
    <t>Write similar IF functions in column K to check the answers to Questions 2, 3 and 4, awarding 1 mark for each question that has been answered correctly.</t>
  </si>
  <si>
    <t>Write an IF function in cell K35 to award 1 mark if the feedback in C35 shows "Correct!".</t>
  </si>
  <si>
    <t>Write a function in K46 to find the total score by adding up the marks awarded for each question.</t>
  </si>
  <si>
    <t>Write a function in B46 to display the final score as *s, one * per mark.</t>
  </si>
  <si>
    <t>Part 4</t>
  </si>
  <si>
    <t>Record a macro to reset the spreadsheet. Your macro will need to clear the contents in the cells in column B that contain a drop-down list and the cells in column M that contain TRUE/FALSE values linked to the check boxes.</t>
  </si>
  <si>
    <t>Edit your macro to change the text colour of cells C14 to C35 and cell B46 to white. Use the following code for cells C14:C35: Range("C14:C35").Font.Color = vbWhite. Edit this code to change the colour of cell B46.</t>
  </si>
  <si>
    <t>Insert a button and assign your macro to it. Edit the button's label to 'Reset'.</t>
  </si>
  <si>
    <t>Part 5</t>
  </si>
  <si>
    <t>Write a macro to show the score and feedback by changing the text colour of cells C14 to C35 to blue and the text colour of cell B46 to green.</t>
  </si>
  <si>
    <t>Insert another button and assign your macro to it. Edit the button's label to 'Mark quiz'.</t>
  </si>
  <si>
    <t>In which year was the Battle of Hastings?</t>
  </si>
  <si>
    <t>That's a bit too early.</t>
  </si>
  <si>
    <t>Spot on!</t>
  </si>
  <si>
    <t>It was over by then.</t>
  </si>
  <si>
    <t>What is the capital of Lithuania?</t>
  </si>
  <si>
    <t>Riga</t>
  </si>
  <si>
    <t>Tallin</t>
  </si>
  <si>
    <t>Vilnius</t>
  </si>
  <si>
    <t>That's the capital city of Latvia.</t>
  </si>
  <si>
    <t>That's the capital city of Estonia.</t>
  </si>
  <si>
    <t>Excellent!</t>
  </si>
  <si>
    <t>Who wrote the BFG?</t>
  </si>
  <si>
    <t>Charles Dichens</t>
  </si>
  <si>
    <t>J.K. Rowling</t>
  </si>
  <si>
    <t>Roald Dahl</t>
  </si>
  <si>
    <t>Expelliarmus!</t>
  </si>
  <si>
    <t>Of course!</t>
  </si>
  <si>
    <t>What is the square root of 64?</t>
  </si>
  <si>
    <t>Well done!</t>
  </si>
  <si>
    <t>That's a quarter of 64.</t>
  </si>
  <si>
    <t>That's a half of 64.</t>
  </si>
  <si>
    <t>I don'd have greate expectations for your score.</t>
  </si>
  <si>
    <t>Brie</t>
  </si>
  <si>
    <t>Manchego</t>
  </si>
  <si>
    <t>Monterey Jill</t>
  </si>
  <si>
    <t>Yes</t>
  </si>
  <si>
    <t>yes</t>
  </si>
  <si>
    <t>Privolone</t>
  </si>
  <si>
    <t>Salami</t>
  </si>
  <si>
    <t>Which of these are types of cheese?</t>
  </si>
  <si>
    <t xml:space="preserve">   </t>
  </si>
  <si>
    <t xml:space="preserve">     </t>
  </si>
  <si>
    <t>I don't have greate expectations for your score.</t>
  </si>
  <si>
    <t>Charles Dickens</t>
  </si>
  <si>
    <t xml:space="preserve">    </t>
  </si>
  <si>
    <t xml:space="preserve"> Click here and choose the correct answer </t>
  </si>
  <si>
    <t xml:space="preserve">Complete the table  to identify four questions that will use drop-down lists, together with three possible answers for each question and feedback for each answer. In the table below Include five different answers that the user will select from. Indicate which three answers must be selected for the answer to be correct.												</t>
  </si>
  <si>
    <t>Enter your first question in cell A14. Enter the list of possible answers to Question 1 in cells M14 to M16. Make sure that they are in alphabetical/numerical order. Enter the feedback for each answer in the adjacent cells in column N.</t>
  </si>
  <si>
    <t>In cell C14 write a VLOOKUP function to give the correct feedback for the answer selected in B14. If necessary, resize the columns so that all of text appears within each cell.</t>
  </si>
  <si>
    <t>Enter the list of possible answers to Question 5. Create check boxes in column B alongside each answer. Link each check box to the cell in the same row in column M.</t>
  </si>
  <si>
    <t>Write an IF function in the cells along answers so that appair "Yes" as it is shown on the sheet Activity 5.1.</t>
  </si>
  <si>
    <t>Score if done completely</t>
  </si>
  <si>
    <t>Score if not done completely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</si>
</sst>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0" x14ac:knownFonts="1">
    <font>
      <sz val="12"/>
      <color theme="1"/>
      <name val="Calibri"/>
      <scheme val="minor"/>
    </font>
    <font>
      <sz val="20"/>
      <color rgb="FF000000"/>
      <name val="Calibri"/>
      <family val="2"/>
    </font>
    <font>
      <sz val="12"/>
      <color theme="1"/>
      <name val="Calibri"/>
      <family val="2"/>
    </font>
    <font>
      <sz val="16"/>
      <color theme="1"/>
      <name val="Calibri"/>
      <family val="2"/>
    </font>
    <font>
      <sz val="12"/>
      <color rgb="FFC55A11"/>
      <name val="Calibri"/>
      <family val="2"/>
    </font>
    <font>
      <b/>
      <sz val="12"/>
      <color theme="1"/>
      <name val="Calibri"/>
      <family val="2"/>
    </font>
    <font>
      <sz val="12"/>
      <name val="Calibri"/>
      <family val="2"/>
    </font>
    <font>
      <b/>
      <sz val="12"/>
      <color rgb="FF7030A0"/>
      <name val="Calibri"/>
      <family val="2"/>
    </font>
    <font>
      <b/>
      <sz val="16"/>
      <color rgb="FF00B050"/>
      <name val="Calibri"/>
      <family val="2"/>
    </font>
    <font>
      <b/>
      <sz val="16"/>
      <color theme="1"/>
      <name val="Calibri"/>
      <family val="2"/>
    </font>
    <font>
      <sz val="16"/>
      <color rgb="FF000000"/>
      <name val="Calibri"/>
      <family val="2"/>
    </font>
    <font>
      <sz val="12"/>
      <color theme="0"/>
      <name val="Calibri"/>
      <family val="2"/>
    </font>
    <font>
      <sz val="12"/>
      <color theme="1"/>
      <name val="Calibri"/>
      <family val="2"/>
    </font>
    <font>
      <sz val="12"/>
      <color rgb="FFFF0000"/>
      <name val="Calibri"/>
      <family val="2"/>
      <scheme val="minor"/>
    </font>
    <font>
      <sz val="12"/>
      <color rgb="FFC55A11"/>
      <name val="Calibri"/>
      <family val="2"/>
    </font>
    <font>
      <sz val="12"/>
      <color theme="1"/>
      <name val="Calibri"/>
      <family val="2"/>
      <scheme val="minor"/>
    </font>
    <font>
      <b/>
      <sz val="12"/>
      <color rgb="FF00B050"/>
      <name val="Calibri"/>
      <family val="2"/>
      <scheme val="minor"/>
    </font>
    <font>
      <b/>
      <sz val="12"/>
      <color theme="1"/>
      <name val="Calibri"/>
      <family val="2"/>
    </font>
    <font>
      <sz val="12"/>
      <color rgb="FFFFFFFF"/>
      <name val="Calibri"/>
      <family val="2"/>
    </font>
    <font>
      <sz val="8"/>
      <color rgb="FF000000"/>
      <name val="Segoe UI"/>
      <family val="2"/>
    </font>
  </fonts>
  <fills count="2">
    <fill>
      <patternFill patternType="none"/>
    </fill>
    <fill>
      <patternFill patternType="gray125"/>
    </fill>
  </fills>
  <borders count="27">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bottom/>
      <diagonal/>
    </border>
  </borders>
  <cellStyleXfs count="1">
    <xf numFmtId="0" fontId="0" fillId="0" borderId="0"/>
  </cellStyleXfs>
  <cellXfs count="79">
    <xf numFmtId="0" fontId="0" fillId="0" borderId="0" xfId="0" applyFont="1" applyAlignment="1"/>
    <xf numFmtId="0" fontId="1" fillId="0" borderId="0" xfId="0" applyFont="1"/>
    <xf numFmtId="0" fontId="2" fillId="0" borderId="0" xfId="0" applyFont="1" applyAlignment="1">
      <alignment horizontal="center"/>
    </xf>
    <xf numFmtId="0" fontId="3" fillId="0" borderId="0" xfId="0" applyFont="1"/>
    <xf numFmtId="0" fontId="4" fillId="0" borderId="0" xfId="0" applyFont="1" applyAlignment="1">
      <alignment horizontal="left" wrapText="1"/>
    </xf>
    <xf numFmtId="0" fontId="4" fillId="0" borderId="0" xfId="0" applyFont="1" applyAlignment="1">
      <alignment horizontal="left"/>
    </xf>
    <xf numFmtId="0" fontId="5" fillId="0" borderId="1" xfId="0" applyFont="1" applyBorder="1"/>
    <xf numFmtId="0" fontId="5" fillId="0" borderId="2" xfId="0" applyFont="1" applyBorder="1"/>
    <xf numFmtId="0" fontId="5" fillId="0" borderId="3" xfId="0" applyFont="1" applyBorder="1"/>
    <xf numFmtId="0" fontId="5" fillId="0" borderId="0" xfId="0" applyFont="1"/>
    <xf numFmtId="0" fontId="2" fillId="0" borderId="6" xfId="0" applyFont="1" applyBorder="1"/>
    <xf numFmtId="0" fontId="2" fillId="0" borderId="7" xfId="0" applyFont="1" applyBorder="1"/>
    <xf numFmtId="0" fontId="2" fillId="0" borderId="10" xfId="0" applyFont="1" applyBorder="1"/>
    <xf numFmtId="0" fontId="2" fillId="0" borderId="11" xfId="0" applyFont="1" applyBorder="1"/>
    <xf numFmtId="0" fontId="2" fillId="0" borderId="14" xfId="0" applyFont="1" applyBorder="1"/>
    <xf numFmtId="0" fontId="2" fillId="0" borderId="15" xfId="0" applyFont="1" applyBorder="1"/>
    <xf numFmtId="0" fontId="5" fillId="0" borderId="4" xfId="0" applyFont="1" applyBorder="1"/>
    <xf numFmtId="0" fontId="5" fillId="0" borderId="5" xfId="0" applyFont="1" applyBorder="1"/>
    <xf numFmtId="0" fontId="5" fillId="0" borderId="16" xfId="0" applyFont="1" applyBorder="1"/>
    <xf numFmtId="0" fontId="7" fillId="0" borderId="0" xfId="0" applyFont="1"/>
    <xf numFmtId="0" fontId="8" fillId="0" borderId="0" xfId="0" applyFont="1" applyAlignment="1">
      <alignment horizontal="right"/>
    </xf>
    <xf numFmtId="0" fontId="9" fillId="0" borderId="0" xfId="0" applyFont="1"/>
    <xf numFmtId="0" fontId="10" fillId="0" borderId="0" xfId="0" applyFont="1"/>
    <xf numFmtId="0" fontId="11" fillId="0" borderId="0" xfId="0" applyFont="1"/>
    <xf numFmtId="0" fontId="0" fillId="0" borderId="0" xfId="0" applyFont="1" applyAlignment="1"/>
    <xf numFmtId="0" fontId="12" fillId="0" borderId="6" xfId="0" applyFont="1" applyBorder="1"/>
    <xf numFmtId="0" fontId="15" fillId="0" borderId="17" xfId="0" applyFont="1" applyBorder="1" applyAlignment="1"/>
    <xf numFmtId="0" fontId="0" fillId="0" borderId="17" xfId="0" applyFont="1" applyBorder="1" applyAlignment="1"/>
    <xf numFmtId="0" fontId="12" fillId="0" borderId="17" xfId="0" applyFont="1" applyBorder="1"/>
    <xf numFmtId="0" fontId="2" fillId="0" borderId="17" xfId="0" applyFont="1" applyBorder="1"/>
    <xf numFmtId="0" fontId="13" fillId="0" borderId="17" xfId="0" applyFont="1" applyBorder="1" applyAlignment="1"/>
    <xf numFmtId="0" fontId="2" fillId="0" borderId="18" xfId="0" applyFont="1" applyBorder="1"/>
    <xf numFmtId="0" fontId="4" fillId="0" borderId="0" xfId="0" applyFont="1" applyAlignment="1"/>
    <xf numFmtId="0" fontId="2" fillId="0" borderId="19" xfId="0" applyFont="1" applyBorder="1" applyAlignment="1"/>
    <xf numFmtId="0" fontId="2" fillId="0" borderId="11" xfId="0" applyFont="1" applyBorder="1" applyAlignment="1"/>
    <xf numFmtId="0" fontId="2" fillId="0" borderId="15" xfId="0" applyFont="1" applyBorder="1" applyAlignment="1"/>
    <xf numFmtId="0" fontId="12" fillId="0" borderId="17" xfId="0" applyFont="1" applyBorder="1" applyAlignment="1"/>
    <xf numFmtId="0" fontId="2" fillId="0" borderId="17" xfId="0" applyFont="1" applyBorder="1" applyAlignment="1"/>
    <xf numFmtId="0" fontId="2" fillId="0" borderId="7" xfId="0" applyFont="1" applyBorder="1" applyAlignment="1"/>
    <xf numFmtId="0" fontId="9" fillId="0" borderId="0" xfId="0" applyFont="1" applyAlignment="1"/>
    <xf numFmtId="0" fontId="1" fillId="0" borderId="0" xfId="0" applyFont="1" applyAlignment="1"/>
    <xf numFmtId="0" fontId="4" fillId="0" borderId="0" xfId="0" applyFont="1" applyAlignment="1">
      <alignment wrapText="1"/>
    </xf>
    <xf numFmtId="0" fontId="11" fillId="0" borderId="0" xfId="0" applyFont="1" applyAlignment="1"/>
    <xf numFmtId="0" fontId="0" fillId="0" borderId="21" xfId="0" applyFont="1" applyBorder="1" applyAlignment="1"/>
    <xf numFmtId="0" fontId="15" fillId="0" borderId="0" xfId="0" applyFont="1" applyBorder="1" applyAlignment="1">
      <alignment horizontal="right" vertical="center"/>
    </xf>
    <xf numFmtId="0" fontId="16" fillId="0" borderId="0" xfId="0" applyFont="1" applyBorder="1" applyAlignment="1">
      <alignment horizontal="center"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164" fontId="2" fillId="0" borderId="6" xfId="0" applyNumberFormat="1" applyFont="1" applyBorder="1"/>
    <xf numFmtId="164" fontId="2" fillId="0" borderId="10" xfId="0" applyNumberFormat="1" applyFont="1" applyBorder="1"/>
    <xf numFmtId="164" fontId="2" fillId="0" borderId="14" xfId="0" applyNumberFormat="1" applyFont="1" applyBorder="1"/>
    <xf numFmtId="0" fontId="1" fillId="0" borderId="0" xfId="0" applyFont="1"/>
    <xf numFmtId="0" fontId="0" fillId="0" borderId="0" xfId="0" applyFont="1" applyAlignment="1"/>
    <xf numFmtId="0" fontId="4" fillId="0" borderId="0" xfId="0" applyFont="1" applyAlignment="1">
      <alignment horizontal="left" wrapText="1"/>
    </xf>
    <xf numFmtId="0" fontId="2" fillId="0" borderId="4" xfId="0" applyFont="1" applyBorder="1" applyAlignment="1">
      <alignment horizontal="center" vertical="center"/>
    </xf>
    <xf numFmtId="0" fontId="6" fillId="0" borderId="8" xfId="0" applyFont="1" applyBorder="1"/>
    <xf numFmtId="0" fontId="6" fillId="0" borderId="12" xfId="0" applyFont="1" applyBorder="1"/>
    <xf numFmtId="0" fontId="2" fillId="0" borderId="5" xfId="0" applyFont="1" applyBorder="1" applyAlignment="1">
      <alignment horizontal="left" vertical="center" wrapText="1"/>
    </xf>
    <xf numFmtId="0" fontId="6" fillId="0" borderId="9" xfId="0" applyFont="1" applyBorder="1"/>
    <xf numFmtId="0" fontId="6" fillId="0" borderId="13" xfId="0" applyFont="1" applyBorder="1"/>
    <xf numFmtId="0" fontId="2" fillId="0" borderId="5" xfId="0" applyFont="1" applyBorder="1" applyAlignment="1">
      <alignment horizontal="left" vertical="center"/>
    </xf>
    <xf numFmtId="0" fontId="10" fillId="0" borderId="0" xfId="0" applyFont="1"/>
    <xf numFmtId="0" fontId="2" fillId="0" borderId="24" xfId="0" applyFont="1" applyBorder="1" applyAlignment="1">
      <alignment horizontal="left" vertical="center" wrapText="1"/>
    </xf>
    <xf numFmtId="0" fontId="6" fillId="0" borderId="20" xfId="0" applyFont="1" applyBorder="1"/>
    <xf numFmtId="0" fontId="6" fillId="0" borderId="25" xfId="0" applyFont="1" applyBorder="1"/>
    <xf numFmtId="0" fontId="0" fillId="0" borderId="0" xfId="0" applyFont="1" applyAlignment="1">
      <alignment horizontal="center" vertical="center" wrapText="1"/>
    </xf>
    <xf numFmtId="0" fontId="16" fillId="0" borderId="0" xfId="0" applyFont="1" applyBorder="1" applyAlignment="1">
      <alignment horizontal="center" vertical="center"/>
    </xf>
    <xf numFmtId="0" fontId="15" fillId="0" borderId="22"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3" xfId="0" applyFont="1" applyBorder="1" applyAlignment="1">
      <alignment horizontal="center" vertical="center" wrapText="1"/>
    </xf>
    <xf numFmtId="0" fontId="6" fillId="0" borderId="9" xfId="0" applyFont="1" applyBorder="1" applyAlignment="1">
      <alignment wrapText="1"/>
    </xf>
    <xf numFmtId="0" fontId="6" fillId="0" borderId="13" xfId="0" applyFont="1" applyBorder="1" applyAlignment="1">
      <alignment wrapText="1"/>
    </xf>
    <xf numFmtId="0" fontId="0" fillId="0" borderId="22"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23" xfId="0" applyFont="1" applyBorder="1" applyAlignment="1">
      <alignment horizontal="center" vertical="center" wrapText="1"/>
    </xf>
    <xf numFmtId="0" fontId="14" fillId="0" borderId="0" xfId="0" applyFont="1" applyAlignment="1">
      <alignment horizontal="left" wrapText="1"/>
    </xf>
    <xf numFmtId="0" fontId="0" fillId="0" borderId="0" xfId="0" applyFont="1" applyAlignment="1">
      <alignment wrapText="1"/>
    </xf>
    <xf numFmtId="0" fontId="15" fillId="0" borderId="0" xfId="0" applyFont="1" applyAlignment="1">
      <alignment wrapText="1"/>
    </xf>
    <xf numFmtId="0" fontId="1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fmlaLink="$C$35" lockText="1" noThreeD="1"/>
</file>

<file path=xl/ctrlProps/ctrlProp2.xml><?xml version="1.0" encoding="utf-8"?>
<formControlPr xmlns="http://schemas.microsoft.com/office/spreadsheetml/2009/9/main" objectType="CheckBox" fmlaLink="$C$36" lockText="1" noThreeD="1"/>
</file>

<file path=xl/ctrlProps/ctrlProp3.xml><?xml version="1.0" encoding="utf-8"?>
<formControlPr xmlns="http://schemas.microsoft.com/office/spreadsheetml/2009/9/main" objectType="CheckBox" fmlaLink="$C$37" lockText="1" noThreeD="1"/>
</file>

<file path=xl/ctrlProps/ctrlProp4.xml><?xml version="1.0" encoding="utf-8"?>
<formControlPr xmlns="http://schemas.microsoft.com/office/spreadsheetml/2009/9/main" objectType="CheckBox" fmlaLink="$C$38" lockText="1" noThreeD="1"/>
</file>

<file path=xl/ctrlProps/ctrlProp5.xml><?xml version="1.0" encoding="utf-8"?>
<formControlPr xmlns="http://schemas.microsoft.com/office/spreadsheetml/2009/9/main" objectType="CheckBox" fmlaLink="$C$39"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33</xdr:row>
          <xdr:rowOff>190500</xdr:rowOff>
        </xdr:from>
        <xdr:to>
          <xdr:col>2</xdr:col>
          <xdr:colOff>1130300</xdr:colOff>
          <xdr:row>35</xdr:row>
          <xdr:rowOff>31750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Brie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1898650</xdr:colOff>
          <xdr:row>34</xdr:row>
          <xdr:rowOff>196850</xdr:rowOff>
        </xdr:from>
        <xdr:to>
          <xdr:col>2</xdr:col>
          <xdr:colOff>1422400</xdr:colOff>
          <xdr:row>36</xdr:row>
          <xdr:rowOff>31750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Manchego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1898650</xdr:colOff>
          <xdr:row>35</xdr:row>
          <xdr:rowOff>190500</xdr:rowOff>
        </xdr:from>
        <xdr:to>
          <xdr:col>2</xdr:col>
          <xdr:colOff>1231900</xdr:colOff>
          <xdr:row>37</xdr:row>
          <xdr:rowOff>31750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Monterey Jill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1898650</xdr:colOff>
          <xdr:row>36</xdr:row>
          <xdr:rowOff>203200</xdr:rowOff>
        </xdr:from>
        <xdr:to>
          <xdr:col>2</xdr:col>
          <xdr:colOff>1028700</xdr:colOff>
          <xdr:row>38</xdr:row>
          <xdr:rowOff>31750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Privolone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1898650</xdr:colOff>
          <xdr:row>37</xdr:row>
          <xdr:rowOff>196850</xdr:rowOff>
        </xdr:from>
        <xdr:to>
          <xdr:col>2</xdr:col>
          <xdr:colOff>1174750</xdr:colOff>
          <xdr:row>39</xdr:row>
          <xdr:rowOff>31750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Salami</a:t>
              </a:r>
            </a:p>
          </xdr:txBody>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4" zoomScaleNormal="100" workbookViewId="0">
      <selection activeCell="D12" sqref="D12"/>
    </sheetView>
  </sheetViews>
  <sheetFormatPr defaultColWidth="11.25" defaultRowHeight="15" customHeight="1" x14ac:dyDescent="0.35"/>
  <cols>
    <col min="1" max="1" width="15.6640625" customWidth="1"/>
    <col min="2" max="2" width="51" customWidth="1"/>
    <col min="3" max="3" width="20.08203125" customWidth="1"/>
    <col min="4" max="4" width="40.6640625" customWidth="1"/>
    <col min="5" max="5" width="20.33203125" customWidth="1"/>
    <col min="6" max="26" width="11" customWidth="1"/>
  </cols>
  <sheetData>
    <row r="1" spans="1:26" ht="15.75" customHeight="1" x14ac:dyDescent="0.6">
      <c r="A1" s="51" t="s">
        <v>0</v>
      </c>
      <c r="B1" s="52"/>
      <c r="C1" s="52"/>
      <c r="D1" s="52"/>
      <c r="E1" s="52"/>
      <c r="F1" s="52"/>
      <c r="G1" s="52"/>
      <c r="H1" s="52"/>
      <c r="I1" s="52"/>
      <c r="J1" s="52"/>
      <c r="K1" s="52"/>
      <c r="L1" s="52"/>
      <c r="M1" s="52"/>
      <c r="N1" s="1"/>
      <c r="O1" s="1"/>
      <c r="P1" s="1"/>
      <c r="Q1" s="1"/>
      <c r="R1" s="1"/>
      <c r="S1" s="1"/>
      <c r="T1" s="1"/>
      <c r="U1" s="1"/>
      <c r="V1" s="1"/>
      <c r="W1" s="1"/>
      <c r="X1" s="1"/>
      <c r="Y1" s="1"/>
      <c r="Z1" s="1"/>
    </row>
    <row r="2" spans="1:26" ht="15.75" customHeight="1" x14ac:dyDescent="0.35">
      <c r="D2" s="2"/>
    </row>
    <row r="3" spans="1:26" ht="15.75" customHeight="1" x14ac:dyDescent="0.5">
      <c r="A3" s="3" t="s">
        <v>1</v>
      </c>
      <c r="D3" s="2"/>
    </row>
    <row r="4" spans="1:26" ht="15.75" customHeight="1" x14ac:dyDescent="0.35">
      <c r="D4" s="2"/>
    </row>
    <row r="5" spans="1:26" ht="15.75" customHeight="1" x14ac:dyDescent="0.35">
      <c r="A5" s="53" t="s">
        <v>2</v>
      </c>
      <c r="B5" s="52"/>
      <c r="C5" s="52"/>
      <c r="D5" s="52"/>
      <c r="E5" s="52"/>
      <c r="F5" s="52"/>
      <c r="G5" s="52"/>
      <c r="H5" s="52"/>
      <c r="I5" s="52"/>
      <c r="J5" s="52"/>
      <c r="K5" s="52"/>
      <c r="L5" s="52"/>
      <c r="M5" s="52"/>
      <c r="N5" s="5"/>
      <c r="O5" s="5"/>
      <c r="P5" s="5"/>
      <c r="Q5" s="5"/>
      <c r="R5" s="5"/>
      <c r="S5" s="5"/>
      <c r="T5" s="5"/>
      <c r="U5" s="5"/>
      <c r="V5" s="5"/>
      <c r="W5" s="5"/>
      <c r="X5" s="5"/>
      <c r="Y5" s="5"/>
      <c r="Z5" s="5"/>
    </row>
    <row r="6" spans="1:26" ht="15.75" customHeight="1" x14ac:dyDescent="0.35"/>
    <row r="7" spans="1:26" ht="15.75" customHeight="1" x14ac:dyDescent="0.35">
      <c r="A7" s="6" t="s">
        <v>3</v>
      </c>
      <c r="B7" s="7" t="s">
        <v>4</v>
      </c>
      <c r="C7" s="7" t="s">
        <v>5</v>
      </c>
      <c r="D7" s="8" t="s">
        <v>6</v>
      </c>
      <c r="E7" s="9"/>
      <c r="F7" s="9"/>
      <c r="G7" s="9"/>
      <c r="H7" s="9"/>
      <c r="I7" s="9"/>
      <c r="J7" s="9"/>
      <c r="K7" s="9"/>
      <c r="L7" s="9"/>
      <c r="M7" s="9"/>
      <c r="N7" s="9"/>
      <c r="O7" s="9"/>
      <c r="P7" s="9"/>
      <c r="Q7" s="9"/>
      <c r="R7" s="9"/>
      <c r="S7" s="9"/>
      <c r="T7" s="9"/>
      <c r="U7" s="9"/>
      <c r="V7" s="9"/>
      <c r="W7" s="9"/>
      <c r="X7" s="9"/>
      <c r="Y7" s="9"/>
      <c r="Z7" s="9"/>
    </row>
    <row r="8" spans="1:26" ht="15.75" customHeight="1" x14ac:dyDescent="0.35">
      <c r="A8" s="54">
        <v>1</v>
      </c>
      <c r="B8" s="57" t="s">
        <v>42</v>
      </c>
      <c r="C8" s="10">
        <v>1065</v>
      </c>
      <c r="D8" s="11" t="s">
        <v>43</v>
      </c>
    </row>
    <row r="9" spans="1:26" ht="15.75" customHeight="1" x14ac:dyDescent="0.35">
      <c r="A9" s="55"/>
      <c r="B9" s="58"/>
      <c r="C9" s="12">
        <v>1066</v>
      </c>
      <c r="D9" s="13" t="s">
        <v>44</v>
      </c>
    </row>
    <row r="10" spans="1:26" ht="15.75" customHeight="1" x14ac:dyDescent="0.35">
      <c r="A10" s="56"/>
      <c r="B10" s="59"/>
      <c r="C10" s="14">
        <v>1067</v>
      </c>
      <c r="D10" s="15" t="s">
        <v>45</v>
      </c>
    </row>
    <row r="11" spans="1:26" ht="15.75" customHeight="1" x14ac:dyDescent="0.35">
      <c r="A11" s="54">
        <v>2</v>
      </c>
      <c r="B11" s="57" t="s">
        <v>46</v>
      </c>
      <c r="C11" s="25" t="s">
        <v>47</v>
      </c>
      <c r="D11" s="11" t="s">
        <v>50</v>
      </c>
    </row>
    <row r="12" spans="1:26" ht="15.75" customHeight="1" x14ac:dyDescent="0.35">
      <c r="A12" s="55"/>
      <c r="B12" s="58"/>
      <c r="C12" s="12" t="s">
        <v>48</v>
      </c>
      <c r="D12" s="13" t="s">
        <v>51</v>
      </c>
    </row>
    <row r="13" spans="1:26" ht="15.75" customHeight="1" x14ac:dyDescent="0.35">
      <c r="A13" s="56"/>
      <c r="B13" s="59"/>
      <c r="C13" s="14" t="s">
        <v>49</v>
      </c>
      <c r="D13" s="15" t="s">
        <v>52</v>
      </c>
    </row>
    <row r="14" spans="1:26" ht="15.75" customHeight="1" x14ac:dyDescent="0.35">
      <c r="A14" s="54">
        <v>3</v>
      </c>
      <c r="B14" s="57" t="s">
        <v>53</v>
      </c>
      <c r="C14" s="10" t="s">
        <v>54</v>
      </c>
      <c r="D14" s="11" t="s">
        <v>63</v>
      </c>
    </row>
    <row r="15" spans="1:26" ht="15.75" customHeight="1" x14ac:dyDescent="0.35">
      <c r="A15" s="55"/>
      <c r="B15" s="58"/>
      <c r="C15" s="12" t="s">
        <v>55</v>
      </c>
      <c r="D15" s="13" t="s">
        <v>57</v>
      </c>
    </row>
    <row r="16" spans="1:26" ht="15.75" customHeight="1" x14ac:dyDescent="0.35">
      <c r="A16" s="56"/>
      <c r="B16" s="59"/>
      <c r="C16" s="14" t="s">
        <v>56</v>
      </c>
      <c r="D16" s="15" t="s">
        <v>58</v>
      </c>
    </row>
    <row r="17" spans="1:26" ht="15.75" customHeight="1" x14ac:dyDescent="0.35">
      <c r="A17" s="54">
        <v>4</v>
      </c>
      <c r="B17" s="57" t="s">
        <v>59</v>
      </c>
      <c r="C17" s="10">
        <v>8</v>
      </c>
      <c r="D17" s="11" t="s">
        <v>60</v>
      </c>
    </row>
    <row r="18" spans="1:26" ht="15.75" customHeight="1" x14ac:dyDescent="0.35">
      <c r="A18" s="55"/>
      <c r="B18" s="58"/>
      <c r="C18" s="12">
        <v>16</v>
      </c>
      <c r="D18" s="13" t="s">
        <v>61</v>
      </c>
    </row>
    <row r="19" spans="1:26" ht="15.75" customHeight="1" x14ac:dyDescent="0.35">
      <c r="A19" s="56"/>
      <c r="B19" s="59"/>
      <c r="C19" s="14">
        <v>32</v>
      </c>
      <c r="D19" s="15" t="s">
        <v>62</v>
      </c>
    </row>
    <row r="20" spans="1:26" ht="15.75" customHeight="1" x14ac:dyDescent="0.35"/>
    <row r="21" spans="1:26" ht="15.75" customHeight="1" x14ac:dyDescent="0.5">
      <c r="A21" s="3" t="s">
        <v>7</v>
      </c>
    </row>
    <row r="22" spans="1:26" ht="15.75" customHeight="1" x14ac:dyDescent="0.35">
      <c r="D22" s="2"/>
    </row>
    <row r="23" spans="1:26" ht="15.75" customHeight="1" x14ac:dyDescent="0.35">
      <c r="A23" s="53" t="s">
        <v>8</v>
      </c>
      <c r="B23" s="52"/>
      <c r="C23" s="52"/>
      <c r="D23" s="52"/>
      <c r="E23" s="52"/>
      <c r="F23" s="52"/>
      <c r="G23" s="52"/>
      <c r="H23" s="52"/>
      <c r="I23" s="52"/>
      <c r="J23" s="52"/>
      <c r="K23" s="52"/>
      <c r="L23" s="52"/>
      <c r="M23" s="52"/>
      <c r="N23" s="5"/>
      <c r="O23" s="5"/>
      <c r="P23" s="5"/>
      <c r="Q23" s="5"/>
      <c r="R23" s="5"/>
      <c r="S23" s="5"/>
      <c r="T23" s="5"/>
      <c r="U23" s="5"/>
      <c r="V23" s="5"/>
      <c r="W23" s="5"/>
      <c r="X23" s="5"/>
      <c r="Y23" s="5"/>
      <c r="Z23" s="5"/>
    </row>
    <row r="24" spans="1:26" ht="15.75" customHeight="1" x14ac:dyDescent="0.35">
      <c r="A24" s="53" t="s">
        <v>9</v>
      </c>
      <c r="B24" s="52"/>
      <c r="C24" s="52"/>
      <c r="D24" s="52"/>
      <c r="E24" s="52"/>
      <c r="F24" s="52"/>
      <c r="G24" s="52"/>
      <c r="H24" s="52"/>
      <c r="I24" s="52"/>
      <c r="J24" s="52"/>
      <c r="K24" s="52"/>
      <c r="L24" s="52"/>
      <c r="M24" s="52"/>
      <c r="N24" s="5"/>
      <c r="O24" s="5"/>
      <c r="P24" s="5"/>
      <c r="Q24" s="5"/>
      <c r="R24" s="5"/>
      <c r="S24" s="5"/>
      <c r="T24" s="5"/>
      <c r="U24" s="5"/>
      <c r="V24" s="5"/>
      <c r="W24" s="5"/>
      <c r="X24" s="5"/>
      <c r="Y24" s="5"/>
      <c r="Z24" s="5"/>
    </row>
    <row r="25" spans="1:26" ht="15.75" customHeight="1" x14ac:dyDescent="0.35"/>
    <row r="26" spans="1:26" ht="15.75" customHeight="1" x14ac:dyDescent="0.35">
      <c r="A26" s="16" t="s">
        <v>3</v>
      </c>
      <c r="B26" s="17" t="s">
        <v>4</v>
      </c>
      <c r="C26" s="17" t="s">
        <v>5</v>
      </c>
      <c r="D26" s="18" t="s">
        <v>10</v>
      </c>
    </row>
    <row r="27" spans="1:26" ht="15.75" customHeight="1" x14ac:dyDescent="0.35">
      <c r="A27" s="54">
        <v>5</v>
      </c>
      <c r="B27" s="60" t="s">
        <v>71</v>
      </c>
      <c r="C27" s="10" t="s">
        <v>64</v>
      </c>
      <c r="D27" s="11" t="s">
        <v>67</v>
      </c>
    </row>
    <row r="28" spans="1:26" ht="15.75" customHeight="1" x14ac:dyDescent="0.35">
      <c r="A28" s="55"/>
      <c r="B28" s="58"/>
      <c r="C28" s="12" t="s">
        <v>65</v>
      </c>
      <c r="D28" s="13" t="s">
        <v>68</v>
      </c>
    </row>
    <row r="29" spans="1:26" ht="15.75" customHeight="1" x14ac:dyDescent="0.35">
      <c r="A29" s="55"/>
      <c r="B29" s="58"/>
      <c r="C29" s="12" t="s">
        <v>66</v>
      </c>
      <c r="D29" s="13"/>
    </row>
    <row r="30" spans="1:26" ht="15.75" customHeight="1" x14ac:dyDescent="0.35">
      <c r="A30" s="55"/>
      <c r="B30" s="58"/>
      <c r="C30" s="12" t="s">
        <v>69</v>
      </c>
      <c r="D30" s="13" t="s">
        <v>67</v>
      </c>
    </row>
    <row r="31" spans="1:26" ht="15.75" customHeight="1" x14ac:dyDescent="0.35">
      <c r="A31" s="56"/>
      <c r="B31" s="59"/>
      <c r="C31" s="14" t="s">
        <v>70</v>
      </c>
      <c r="D31" s="15"/>
    </row>
    <row r="32" spans="1:2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4">
    <mergeCell ref="A14:A16"/>
    <mergeCell ref="A17:A19"/>
    <mergeCell ref="B17:B19"/>
    <mergeCell ref="A27:A31"/>
    <mergeCell ref="B27:B31"/>
    <mergeCell ref="A23:M23"/>
    <mergeCell ref="A24:M24"/>
    <mergeCell ref="B14:B16"/>
    <mergeCell ref="A1:M1"/>
    <mergeCell ref="A5:M5"/>
    <mergeCell ref="A8:A10"/>
    <mergeCell ref="B8:B10"/>
    <mergeCell ref="A11:A13"/>
    <mergeCell ref="B11:B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5" zoomScale="90" zoomScaleNormal="90" workbookViewId="0">
      <selection activeCell="A59" sqref="A59:M59"/>
    </sheetView>
  </sheetViews>
  <sheetFormatPr defaultColWidth="11.25" defaultRowHeight="15" customHeight="1" x14ac:dyDescent="0.35"/>
  <cols>
    <col min="1" max="1" width="39.5" customWidth="1"/>
    <col min="2" max="2" width="25" customWidth="1"/>
    <col min="3" max="3" width="28.1640625" style="44" customWidth="1"/>
    <col min="4" max="4" width="16.25" customWidth="1"/>
    <col min="5" max="12" width="2.25" customWidth="1"/>
    <col min="13" max="13" width="17.6640625" customWidth="1"/>
    <col min="14" max="14" width="30.08203125" style="24" customWidth="1"/>
    <col min="15" max="26" width="11" customWidth="1"/>
  </cols>
  <sheetData>
    <row r="1" spans="1:26" ht="15.75" customHeight="1" x14ac:dyDescent="0.6">
      <c r="A1" s="51" t="s">
        <v>11</v>
      </c>
      <c r="B1" s="52"/>
      <c r="C1" s="52"/>
      <c r="D1" s="52"/>
      <c r="E1" s="52"/>
      <c r="F1" s="52"/>
      <c r="G1" s="52"/>
      <c r="H1" s="52"/>
      <c r="I1" s="52"/>
      <c r="J1" s="52"/>
      <c r="K1" s="52"/>
      <c r="L1" s="52"/>
      <c r="M1" s="52"/>
      <c r="N1" s="52"/>
      <c r="O1" s="1"/>
      <c r="P1" s="1"/>
      <c r="Q1" s="1"/>
      <c r="R1" s="1"/>
      <c r="S1" s="1"/>
      <c r="T1" s="1"/>
      <c r="U1" s="1"/>
      <c r="V1" s="1"/>
      <c r="W1" s="1"/>
      <c r="X1" s="1"/>
      <c r="Y1" s="1"/>
      <c r="Z1" s="1"/>
    </row>
    <row r="2" spans="1:26" ht="15.75" customHeight="1" x14ac:dyDescent="0.35"/>
    <row r="3" spans="1:26" ht="15.75" customHeight="1" x14ac:dyDescent="0.5">
      <c r="A3" s="3" t="s">
        <v>1</v>
      </c>
    </row>
    <row r="4" spans="1:26" ht="15.75" customHeight="1" x14ac:dyDescent="0.35"/>
    <row r="5" spans="1:26" ht="15.75" customHeight="1" x14ac:dyDescent="0.35">
      <c r="A5" s="53" t="s">
        <v>12</v>
      </c>
      <c r="B5" s="52"/>
      <c r="C5" s="52"/>
      <c r="D5" s="52"/>
      <c r="E5" s="52"/>
      <c r="F5" s="52"/>
      <c r="G5" s="52"/>
      <c r="H5" s="52"/>
      <c r="I5" s="52"/>
      <c r="J5" s="52"/>
      <c r="K5" s="52"/>
      <c r="L5" s="52"/>
      <c r="M5" s="52"/>
      <c r="N5" s="32"/>
      <c r="O5" s="5"/>
      <c r="P5" s="5"/>
      <c r="Q5" s="5"/>
      <c r="R5" s="5"/>
      <c r="S5" s="5"/>
      <c r="T5" s="5"/>
      <c r="U5" s="5"/>
      <c r="V5" s="5"/>
      <c r="W5" s="5"/>
      <c r="X5" s="5"/>
      <c r="Y5" s="5"/>
      <c r="Z5" s="5"/>
    </row>
    <row r="6" spans="1:26" ht="15.75" customHeight="1" x14ac:dyDescent="0.35">
      <c r="A6" s="53" t="s">
        <v>13</v>
      </c>
      <c r="B6" s="52"/>
      <c r="C6" s="52"/>
      <c r="D6" s="52"/>
      <c r="E6" s="52"/>
      <c r="F6" s="52"/>
      <c r="G6" s="52"/>
      <c r="H6" s="52"/>
      <c r="I6" s="52"/>
      <c r="J6" s="52"/>
      <c r="K6" s="52"/>
      <c r="L6" s="52"/>
      <c r="M6" s="52"/>
      <c r="N6" s="32"/>
      <c r="O6" s="5"/>
      <c r="P6" s="5"/>
      <c r="Q6" s="5"/>
      <c r="R6" s="5"/>
      <c r="S6" s="5"/>
      <c r="T6" s="5"/>
      <c r="U6" s="5"/>
      <c r="V6" s="5"/>
      <c r="W6" s="5"/>
      <c r="X6" s="5"/>
      <c r="Y6" s="5"/>
      <c r="Z6" s="5"/>
    </row>
    <row r="7" spans="1:26" ht="15.75" customHeight="1" x14ac:dyDescent="0.35">
      <c r="A7" s="53" t="s">
        <v>14</v>
      </c>
      <c r="B7" s="52"/>
      <c r="C7" s="52"/>
      <c r="D7" s="52"/>
      <c r="E7" s="52"/>
      <c r="F7" s="52"/>
      <c r="G7" s="52"/>
      <c r="H7" s="52"/>
      <c r="I7" s="52"/>
      <c r="J7" s="52"/>
      <c r="K7" s="52"/>
      <c r="L7" s="52"/>
      <c r="M7" s="52"/>
      <c r="N7" s="32"/>
      <c r="O7" s="5"/>
      <c r="P7" s="5"/>
      <c r="Q7" s="5"/>
      <c r="R7" s="5"/>
      <c r="S7" s="5"/>
      <c r="T7" s="5"/>
      <c r="U7" s="5"/>
      <c r="V7" s="5"/>
      <c r="W7" s="5"/>
      <c r="X7" s="5"/>
      <c r="Y7" s="5"/>
      <c r="Z7" s="5"/>
    </row>
    <row r="8" spans="1:26" ht="15.75" customHeight="1" x14ac:dyDescent="0.35">
      <c r="A8" s="53" t="s">
        <v>15</v>
      </c>
      <c r="B8" s="52"/>
      <c r="C8" s="52"/>
      <c r="D8" s="52"/>
      <c r="E8" s="52"/>
      <c r="F8" s="52"/>
      <c r="G8" s="52"/>
      <c r="H8" s="52"/>
      <c r="I8" s="52"/>
      <c r="J8" s="52"/>
      <c r="K8" s="52"/>
      <c r="L8" s="52"/>
      <c r="M8" s="52"/>
      <c r="N8" s="32"/>
      <c r="O8" s="5"/>
      <c r="P8" s="5"/>
      <c r="Q8" s="5"/>
      <c r="R8" s="5"/>
      <c r="S8" s="5"/>
      <c r="T8" s="5"/>
      <c r="U8" s="5"/>
      <c r="V8" s="5"/>
      <c r="W8" s="5"/>
      <c r="X8" s="5"/>
      <c r="Y8" s="5"/>
      <c r="Z8" s="5"/>
    </row>
    <row r="9" spans="1:26" ht="15.75" customHeight="1" x14ac:dyDescent="0.35">
      <c r="A9" s="53" t="s">
        <v>16</v>
      </c>
      <c r="B9" s="52"/>
      <c r="C9" s="52"/>
      <c r="D9" s="52"/>
      <c r="E9" s="52"/>
      <c r="F9" s="52"/>
      <c r="G9" s="52"/>
      <c r="H9" s="52"/>
      <c r="I9" s="52"/>
      <c r="J9" s="52"/>
      <c r="K9" s="52"/>
      <c r="L9" s="52"/>
      <c r="M9" s="52"/>
      <c r="N9" s="32"/>
      <c r="O9" s="5"/>
      <c r="P9" s="5"/>
      <c r="Q9" s="5"/>
      <c r="R9" s="5"/>
      <c r="S9" s="5"/>
      <c r="T9" s="5"/>
      <c r="U9" s="5"/>
      <c r="V9" s="5"/>
      <c r="W9" s="5"/>
      <c r="X9" s="5"/>
      <c r="Y9" s="5"/>
      <c r="Z9" s="5"/>
    </row>
    <row r="10" spans="1:26" ht="15.75" customHeight="1" x14ac:dyDescent="0.35">
      <c r="A10" s="75" t="s">
        <v>17</v>
      </c>
      <c r="B10" s="52"/>
      <c r="C10" s="52"/>
      <c r="D10" s="52"/>
      <c r="E10" s="52"/>
      <c r="F10" s="52"/>
      <c r="G10" s="52"/>
      <c r="H10" s="52"/>
      <c r="I10" s="52"/>
      <c r="J10" s="52"/>
      <c r="K10" s="52"/>
      <c r="L10" s="52"/>
      <c r="M10" s="52"/>
      <c r="N10" s="32"/>
      <c r="O10" s="5"/>
      <c r="P10" s="5"/>
      <c r="Q10" s="5"/>
      <c r="R10" s="5"/>
      <c r="S10" s="5"/>
      <c r="T10" s="5"/>
      <c r="U10" s="5"/>
      <c r="V10" s="5"/>
      <c r="W10" s="5"/>
      <c r="X10" s="5"/>
      <c r="Y10" s="5"/>
      <c r="Z10" s="5"/>
    </row>
    <row r="11" spans="1:26" ht="15.75" customHeight="1" x14ac:dyDescent="0.35">
      <c r="A11" s="53" t="s">
        <v>18</v>
      </c>
      <c r="B11" s="52"/>
      <c r="C11" s="52"/>
      <c r="D11" s="52"/>
      <c r="E11" s="52"/>
      <c r="F11" s="52"/>
      <c r="G11" s="52"/>
      <c r="H11" s="52"/>
      <c r="I11" s="52"/>
      <c r="J11" s="52"/>
      <c r="K11" s="52"/>
      <c r="L11" s="52"/>
      <c r="M11" s="52"/>
      <c r="N11" s="32"/>
      <c r="O11" s="5"/>
      <c r="P11" s="5"/>
      <c r="Q11" s="5"/>
      <c r="R11" s="5"/>
      <c r="S11" s="5"/>
      <c r="T11" s="5"/>
      <c r="U11" s="5"/>
      <c r="V11" s="5"/>
      <c r="W11" s="5"/>
      <c r="X11" s="5"/>
      <c r="Y11" s="5"/>
      <c r="Z11" s="5"/>
    </row>
    <row r="12" spans="1:26" ht="15.75" customHeight="1" x14ac:dyDescent="0.35"/>
    <row r="13" spans="1:26" ht="15.75" customHeight="1" x14ac:dyDescent="0.35">
      <c r="A13" s="19" t="s">
        <v>19</v>
      </c>
      <c r="M13" s="30" t="s">
        <v>77</v>
      </c>
      <c r="N13" s="26" t="s">
        <v>72</v>
      </c>
    </row>
    <row r="14" spans="1:26" ht="37.15" customHeight="1" x14ac:dyDescent="0.35">
      <c r="A14" s="65" t="s">
        <v>42</v>
      </c>
      <c r="B14" s="72" t="s">
        <v>77</v>
      </c>
      <c r="C14" s="45" t="str">
        <f>VLOOKUP(B14,M13:N16,2,FALSE)</f>
        <v xml:space="preserve">   </v>
      </c>
      <c r="M14" s="31">
        <v>1065</v>
      </c>
      <c r="N14" s="33" t="str" cm="1">
        <f t="array" ref="N14:N16">_xlfn.XLOOKUP(Answers1,'Activity 5.1'!C8:C10,'Activity 5.1'!D8:D10)</f>
        <v>That's a bit too early.</v>
      </c>
    </row>
    <row r="15" spans="1:26" ht="15.75" customHeight="1" x14ac:dyDescent="0.35">
      <c r="A15" s="65"/>
      <c r="B15" s="73"/>
      <c r="M15" s="12">
        <v>1066</v>
      </c>
      <c r="N15" s="34" t="str">
        <v>Spot on!</v>
      </c>
    </row>
    <row r="16" spans="1:26" ht="15.75" customHeight="1" thickBot="1" x14ac:dyDescent="0.4">
      <c r="A16" s="65"/>
      <c r="B16" s="74"/>
      <c r="M16" s="14">
        <v>1067</v>
      </c>
      <c r="N16" s="35" t="str">
        <v>It was over by then.</v>
      </c>
    </row>
    <row r="17" spans="1:14" ht="27" customHeight="1" x14ac:dyDescent="0.35"/>
    <row r="18" spans="1:14" ht="15.75" customHeight="1" thickBot="1" x14ac:dyDescent="0.4">
      <c r="A18" s="19" t="s">
        <v>20</v>
      </c>
      <c r="M18" s="30" t="s">
        <v>77</v>
      </c>
      <c r="N18" s="26" t="s">
        <v>72</v>
      </c>
    </row>
    <row r="19" spans="1:14" ht="15.75" customHeight="1" x14ac:dyDescent="0.35">
      <c r="A19" s="62" t="s">
        <v>46</v>
      </c>
      <c r="B19" s="72" t="s">
        <v>77</v>
      </c>
      <c r="C19" s="66" t="str">
        <f>VLOOKUP(B19,M18:N21,2,FALSE)</f>
        <v xml:space="preserve">   </v>
      </c>
      <c r="D19" s="43"/>
      <c r="M19" s="28" t="s">
        <v>47</v>
      </c>
      <c r="N19" s="27" t="str" cm="1">
        <f t="array" ref="N19:N21">_xlfn.XLOOKUP(Answers2,'Activity 5.1'!C11:C13,'Activity 5.1'!D11:D13)</f>
        <v>That's the capital city of Latvia.</v>
      </c>
    </row>
    <row r="20" spans="1:14" ht="15.75" customHeight="1" x14ac:dyDescent="0.35">
      <c r="A20" s="63"/>
      <c r="B20" s="73"/>
      <c r="C20" s="66"/>
      <c r="M20" s="29" t="s">
        <v>48</v>
      </c>
      <c r="N20" s="27" t="str">
        <v>That's the capital city of Estonia.</v>
      </c>
    </row>
    <row r="21" spans="1:14" ht="15.75" customHeight="1" thickBot="1" x14ac:dyDescent="0.4">
      <c r="A21" s="64"/>
      <c r="B21" s="74"/>
      <c r="M21" s="29" t="s">
        <v>49</v>
      </c>
      <c r="N21" s="27" t="str">
        <v>Excellent!</v>
      </c>
    </row>
    <row r="22" spans="1:14" ht="15.75" customHeight="1" x14ac:dyDescent="0.35"/>
    <row r="23" spans="1:14" ht="15.75" customHeight="1" thickBot="1" x14ac:dyDescent="0.4">
      <c r="A23" s="19" t="s">
        <v>21</v>
      </c>
    </row>
    <row r="24" spans="1:14" ht="21.75" customHeight="1" x14ac:dyDescent="0.35">
      <c r="A24" s="62" t="s">
        <v>53</v>
      </c>
      <c r="B24" s="67" t="s">
        <v>77</v>
      </c>
      <c r="C24" s="66" t="str">
        <f>VLOOKUP(B24,M24:N27,2, FALSE)</f>
        <v xml:space="preserve">     </v>
      </c>
      <c r="M24" s="30" t="s">
        <v>77</v>
      </c>
      <c r="N24" s="26" t="s">
        <v>73</v>
      </c>
    </row>
    <row r="25" spans="1:14" ht="15.75" customHeight="1" x14ac:dyDescent="0.35">
      <c r="A25" s="63"/>
      <c r="B25" s="68"/>
      <c r="C25" s="66"/>
      <c r="M25" s="28" t="s">
        <v>75</v>
      </c>
      <c r="N25" s="36" t="s">
        <v>74</v>
      </c>
    </row>
    <row r="26" spans="1:14" ht="15.75" customHeight="1" thickBot="1" x14ac:dyDescent="0.4">
      <c r="A26" s="64"/>
      <c r="B26" s="69"/>
      <c r="M26" s="29" t="s">
        <v>55</v>
      </c>
      <c r="N26" s="37" t="s">
        <v>57</v>
      </c>
    </row>
    <row r="27" spans="1:14" ht="15.75" customHeight="1" x14ac:dyDescent="0.35">
      <c r="M27" s="29" t="s">
        <v>56</v>
      </c>
      <c r="N27" s="37" t="s">
        <v>58</v>
      </c>
    </row>
    <row r="28" spans="1:14" ht="15.75" customHeight="1" thickBot="1" x14ac:dyDescent="0.4">
      <c r="A28" s="19" t="s">
        <v>22</v>
      </c>
    </row>
    <row r="29" spans="1:14" ht="15.75" customHeight="1" thickBot="1" x14ac:dyDescent="0.4">
      <c r="A29" s="62" t="s">
        <v>59</v>
      </c>
      <c r="B29" s="67" t="s">
        <v>77</v>
      </c>
      <c r="C29" s="45" t="str">
        <f>VLOOKUP(B29,M29:N32,2,FALSE)</f>
        <v xml:space="preserve">    </v>
      </c>
      <c r="M29" s="30" t="s">
        <v>77</v>
      </c>
      <c r="N29" s="26" t="s">
        <v>76</v>
      </c>
    </row>
    <row r="30" spans="1:14" ht="15.75" customHeight="1" x14ac:dyDescent="0.35">
      <c r="A30" s="63"/>
      <c r="B30" s="68"/>
      <c r="M30" s="10">
        <v>8</v>
      </c>
      <c r="N30" s="38" t="s">
        <v>60</v>
      </c>
    </row>
    <row r="31" spans="1:14" ht="15.75" customHeight="1" thickBot="1" x14ac:dyDescent="0.4">
      <c r="A31" s="64"/>
      <c r="B31" s="69"/>
      <c r="M31" s="12">
        <v>16</v>
      </c>
      <c r="N31" s="34" t="s">
        <v>61</v>
      </c>
    </row>
    <row r="32" spans="1:14" ht="15.75" customHeight="1" thickBot="1" x14ac:dyDescent="0.4">
      <c r="M32" s="14">
        <v>32</v>
      </c>
      <c r="N32" s="35" t="s">
        <v>62</v>
      </c>
    </row>
    <row r="33" spans="1:26" ht="15.75" customHeight="1" thickBot="1" x14ac:dyDescent="0.4">
      <c r="A33" s="19" t="s">
        <v>23</v>
      </c>
    </row>
    <row r="34" spans="1:26" ht="15.75" customHeight="1" thickBot="1" x14ac:dyDescent="0.4">
      <c r="A34" s="16" t="s">
        <v>3</v>
      </c>
      <c r="B34" s="17" t="s">
        <v>4</v>
      </c>
      <c r="C34" s="17" t="s">
        <v>5</v>
      </c>
      <c r="D34" s="18" t="s">
        <v>10</v>
      </c>
    </row>
    <row r="35" spans="1:26" ht="15.75" customHeight="1" thickBot="1" x14ac:dyDescent="0.4">
      <c r="A35" s="54">
        <v>5</v>
      </c>
      <c r="B35" s="57" t="s">
        <v>71</v>
      </c>
      <c r="C35" s="48" t="b">
        <v>0</v>
      </c>
      <c r="D35" s="11" t="str">
        <f>IF(C35=TRUE,"Yes","")</f>
        <v/>
      </c>
    </row>
    <row r="36" spans="1:26" ht="15.75" customHeight="1" thickBot="1" x14ac:dyDescent="0.4">
      <c r="A36" s="55"/>
      <c r="B36" s="70"/>
      <c r="C36" s="49" t="b">
        <v>0</v>
      </c>
      <c r="D36" s="11" t="str">
        <f>IF(C36=TRUE,"Yes","")</f>
        <v/>
      </c>
    </row>
    <row r="37" spans="1:26" ht="15.75" customHeight="1" thickBot="1" x14ac:dyDescent="0.4">
      <c r="A37" s="55"/>
      <c r="B37" s="70"/>
      <c r="C37" s="49" t="b">
        <v>0</v>
      </c>
      <c r="D37" s="11" t="str">
        <f>IF(C37=TRUE,"","")</f>
        <v/>
      </c>
    </row>
    <row r="38" spans="1:26" ht="15.75" customHeight="1" thickBot="1" x14ac:dyDescent="0.4">
      <c r="A38" s="55"/>
      <c r="B38" s="70"/>
      <c r="C38" s="49" t="b">
        <v>0</v>
      </c>
      <c r="D38" s="11" t="str">
        <f t="shared" ref="D38" si="0">IF(C38=TRUE,"Yes","")</f>
        <v/>
      </c>
    </row>
    <row r="39" spans="1:26" ht="15.75" customHeight="1" thickBot="1" x14ac:dyDescent="0.4">
      <c r="A39" s="56"/>
      <c r="B39" s="71"/>
      <c r="C39" s="50" t="b">
        <v>0</v>
      </c>
      <c r="D39" s="11" t="str">
        <f>IF(C39=TRUE,"","")</f>
        <v/>
      </c>
    </row>
    <row r="40" spans="1:26" ht="15.75" customHeight="1" x14ac:dyDescent="0.35"/>
    <row r="41" spans="1:26" ht="15.75" customHeight="1" x14ac:dyDescent="0.35"/>
    <row r="42" spans="1:26" ht="15.75" customHeight="1" x14ac:dyDescent="0.35"/>
    <row r="43" spans="1:26" ht="15.75" customHeight="1" x14ac:dyDescent="0.35"/>
    <row r="44" spans="1:26" ht="15.75" customHeight="1" x14ac:dyDescent="0.35"/>
    <row r="45" spans="1:26" ht="15.75" customHeight="1" x14ac:dyDescent="0.35"/>
    <row r="46" spans="1:26" ht="15.75" customHeight="1" x14ac:dyDescent="0.5">
      <c r="A46" s="20" t="s">
        <v>24</v>
      </c>
      <c r="B46" s="21"/>
      <c r="C46" s="46"/>
      <c r="D46" s="21"/>
      <c r="E46" s="21"/>
      <c r="F46" s="21"/>
      <c r="G46" s="21"/>
      <c r="H46" s="21"/>
      <c r="I46" s="21"/>
      <c r="J46" s="21"/>
      <c r="K46" s="21"/>
      <c r="L46" s="21"/>
      <c r="M46" s="21"/>
      <c r="N46" s="39"/>
      <c r="O46" s="21"/>
      <c r="P46" s="21"/>
      <c r="Q46" s="21"/>
      <c r="R46" s="21"/>
      <c r="S46" s="21"/>
      <c r="T46" s="21"/>
      <c r="U46" s="21"/>
      <c r="V46" s="21"/>
      <c r="W46" s="21"/>
      <c r="X46" s="21"/>
      <c r="Y46" s="21"/>
      <c r="Z46" s="21"/>
    </row>
    <row r="47" spans="1:26" ht="15.75" customHeight="1" x14ac:dyDescent="0.35"/>
    <row r="48" spans="1:26" ht="15.75" customHeight="1" x14ac:dyDescent="0.35"/>
    <row r="49" spans="1:26" ht="15.75" customHeight="1" x14ac:dyDescent="0.35"/>
    <row r="50" spans="1:26" ht="15.75" customHeight="1" x14ac:dyDescent="0.35"/>
    <row r="51" spans="1:26" ht="15.75" customHeight="1" x14ac:dyDescent="0.35"/>
    <row r="52" spans="1:26" ht="15.75" customHeight="1" x14ac:dyDescent="0.35"/>
    <row r="53" spans="1:26" ht="15.75" customHeight="1" x14ac:dyDescent="0.35"/>
    <row r="54" spans="1:26" ht="21" customHeight="1" x14ac:dyDescent="0.6">
      <c r="A54" s="22" t="s">
        <v>7</v>
      </c>
      <c r="B54" s="1"/>
      <c r="C54" s="47"/>
      <c r="D54" s="1"/>
      <c r="E54" s="1"/>
      <c r="F54" s="1"/>
      <c r="G54" s="1"/>
      <c r="H54" s="1"/>
      <c r="I54" s="1"/>
      <c r="J54" s="1"/>
      <c r="K54" s="1"/>
      <c r="L54" s="1"/>
      <c r="M54" s="1"/>
      <c r="N54" s="40"/>
      <c r="O54" s="1"/>
      <c r="P54" s="1"/>
      <c r="Q54" s="1"/>
      <c r="R54" s="1"/>
      <c r="S54" s="1"/>
      <c r="T54" s="1"/>
      <c r="U54" s="1"/>
      <c r="V54" s="1"/>
      <c r="W54" s="1"/>
      <c r="X54" s="1"/>
      <c r="Y54" s="1"/>
      <c r="Z54" s="1"/>
    </row>
    <row r="55" spans="1:26" ht="15" customHeight="1" x14ac:dyDescent="0.6">
      <c r="A55" s="1"/>
      <c r="B55" s="1"/>
      <c r="C55" s="47"/>
      <c r="D55" s="1"/>
      <c r="E55" s="1"/>
      <c r="F55" s="1"/>
      <c r="G55" s="1"/>
      <c r="H55" s="1"/>
      <c r="I55" s="1"/>
      <c r="J55" s="1"/>
      <c r="K55" s="1"/>
      <c r="L55" s="1"/>
      <c r="M55" s="1"/>
      <c r="N55" s="40"/>
      <c r="O55" s="1"/>
      <c r="P55" s="1"/>
      <c r="Q55" s="1"/>
      <c r="R55" s="1"/>
      <c r="S55" s="1"/>
      <c r="T55" s="1"/>
      <c r="U55" s="1"/>
      <c r="V55" s="1"/>
      <c r="W55" s="1"/>
      <c r="X55" s="1"/>
      <c r="Y55" s="1"/>
      <c r="Z55" s="1"/>
    </row>
    <row r="56" spans="1:26" ht="15.75" customHeight="1" x14ac:dyDescent="0.35">
      <c r="A56" s="53" t="s">
        <v>25</v>
      </c>
      <c r="B56" s="52"/>
      <c r="C56" s="52"/>
      <c r="D56" s="52"/>
      <c r="E56" s="52"/>
      <c r="F56" s="52"/>
      <c r="G56" s="52"/>
      <c r="H56" s="52"/>
      <c r="I56" s="52"/>
      <c r="J56" s="52"/>
      <c r="K56" s="52"/>
      <c r="L56" s="52"/>
      <c r="M56" s="52"/>
      <c r="N56" s="32"/>
      <c r="O56" s="5"/>
      <c r="P56" s="5"/>
      <c r="Q56" s="5"/>
      <c r="R56" s="5"/>
      <c r="S56" s="5"/>
      <c r="T56" s="5"/>
      <c r="U56" s="5"/>
      <c r="V56" s="5"/>
      <c r="W56" s="5"/>
      <c r="X56" s="5"/>
      <c r="Y56" s="5"/>
      <c r="Z56" s="5"/>
    </row>
    <row r="57" spans="1:26" ht="15.75" customHeight="1" x14ac:dyDescent="0.35">
      <c r="A57" s="53" t="s">
        <v>26</v>
      </c>
      <c r="B57" s="52"/>
      <c r="C57" s="52"/>
      <c r="D57" s="52"/>
      <c r="E57" s="52"/>
      <c r="F57" s="52"/>
      <c r="G57" s="52"/>
      <c r="H57" s="52"/>
      <c r="I57" s="52"/>
      <c r="J57" s="52"/>
      <c r="K57" s="52"/>
      <c r="L57" s="52"/>
      <c r="M57" s="52"/>
      <c r="N57" s="32"/>
      <c r="O57" s="5"/>
      <c r="P57" s="5"/>
      <c r="Q57" s="5"/>
      <c r="R57" s="5"/>
      <c r="S57" s="5"/>
      <c r="T57" s="5"/>
      <c r="U57" s="5"/>
      <c r="V57" s="5"/>
      <c r="W57" s="5"/>
      <c r="X57" s="5"/>
      <c r="Y57" s="5"/>
      <c r="Z57" s="5"/>
    </row>
    <row r="58" spans="1:26" ht="15.75" customHeight="1" x14ac:dyDescent="0.35">
      <c r="A58" s="53" t="s">
        <v>27</v>
      </c>
      <c r="B58" s="52"/>
      <c r="C58" s="52"/>
      <c r="D58" s="52"/>
      <c r="E58" s="52"/>
      <c r="F58" s="52"/>
      <c r="G58" s="52"/>
      <c r="H58" s="52"/>
      <c r="I58" s="52"/>
      <c r="J58" s="52"/>
      <c r="K58" s="52"/>
      <c r="L58" s="52"/>
      <c r="M58" s="52"/>
      <c r="N58" s="32"/>
      <c r="O58" s="5"/>
      <c r="P58" s="5"/>
      <c r="Q58" s="5"/>
      <c r="R58" s="5"/>
      <c r="S58" s="5"/>
      <c r="T58" s="5"/>
      <c r="U58" s="5"/>
      <c r="V58" s="5"/>
      <c r="W58" s="5"/>
      <c r="X58" s="5"/>
      <c r="Y58" s="5"/>
      <c r="Z58" s="5"/>
    </row>
    <row r="59" spans="1:26" ht="33" customHeight="1" x14ac:dyDescent="0.35">
      <c r="A59" s="53" t="s">
        <v>28</v>
      </c>
      <c r="B59" s="52"/>
      <c r="C59" s="52"/>
      <c r="D59" s="52"/>
      <c r="E59" s="52"/>
      <c r="F59" s="52"/>
      <c r="G59" s="52"/>
      <c r="H59" s="52"/>
      <c r="I59" s="52"/>
      <c r="J59" s="52"/>
      <c r="K59" s="52"/>
      <c r="L59" s="52"/>
      <c r="M59" s="52"/>
      <c r="N59" s="41"/>
      <c r="O59" s="4"/>
      <c r="P59" s="4"/>
      <c r="Q59" s="4"/>
      <c r="R59" s="4"/>
      <c r="S59" s="4"/>
      <c r="T59" s="4"/>
      <c r="U59" s="4"/>
      <c r="V59" s="4"/>
      <c r="W59" s="4"/>
      <c r="X59" s="4"/>
      <c r="Y59" s="4"/>
      <c r="Z59" s="4"/>
    </row>
    <row r="60" spans="1:26" ht="15.75" customHeight="1" x14ac:dyDescent="0.35"/>
    <row r="61" spans="1:26" ht="21" customHeight="1" x14ac:dyDescent="0.6">
      <c r="A61" s="61" t="s">
        <v>29</v>
      </c>
      <c r="B61" s="52"/>
      <c r="C61" s="52"/>
      <c r="D61" s="52"/>
      <c r="E61" s="52"/>
      <c r="F61" s="52"/>
      <c r="G61" s="52"/>
      <c r="H61" s="52"/>
      <c r="I61" s="52"/>
      <c r="J61" s="52"/>
      <c r="K61" s="52"/>
      <c r="L61" s="52"/>
      <c r="M61" s="52"/>
      <c r="N61" s="52"/>
      <c r="O61" s="1"/>
      <c r="P61" s="1"/>
      <c r="Q61" s="1"/>
      <c r="R61" s="1"/>
      <c r="S61" s="1"/>
      <c r="T61" s="1"/>
      <c r="U61" s="1"/>
      <c r="V61" s="1"/>
      <c r="W61" s="1"/>
      <c r="X61" s="1"/>
      <c r="Y61" s="1"/>
      <c r="Z61" s="1"/>
    </row>
    <row r="62" spans="1:26" ht="15" customHeight="1" x14ac:dyDescent="0.6">
      <c r="A62" s="1"/>
      <c r="B62" s="1"/>
      <c r="C62" s="47"/>
      <c r="D62" s="1"/>
      <c r="E62" s="1"/>
      <c r="F62" s="1"/>
      <c r="G62" s="1"/>
      <c r="H62" s="1"/>
      <c r="I62" s="1"/>
      <c r="J62" s="1"/>
      <c r="K62" s="1"/>
      <c r="L62" s="1"/>
      <c r="M62" s="1"/>
      <c r="N62" s="40"/>
      <c r="O62" s="1"/>
      <c r="P62" s="1"/>
      <c r="Q62" s="1"/>
      <c r="R62" s="1"/>
      <c r="S62" s="1"/>
      <c r="T62" s="1"/>
      <c r="U62" s="1"/>
      <c r="V62" s="1"/>
      <c r="W62" s="1"/>
      <c r="X62" s="1"/>
      <c r="Y62" s="1"/>
      <c r="Z62" s="1"/>
    </row>
    <row r="63" spans="1:26" ht="15.75" customHeight="1" x14ac:dyDescent="0.35">
      <c r="A63" s="53" t="s">
        <v>30</v>
      </c>
      <c r="B63" s="52"/>
      <c r="C63" s="52"/>
      <c r="D63" s="52"/>
      <c r="E63" s="52"/>
      <c r="F63" s="52"/>
      <c r="G63" s="52"/>
      <c r="H63" s="52"/>
      <c r="I63" s="52"/>
      <c r="J63" s="52"/>
      <c r="K63" s="52"/>
      <c r="L63" s="52"/>
      <c r="M63" s="52"/>
      <c r="N63" s="32"/>
      <c r="O63" s="5"/>
      <c r="P63" s="5"/>
      <c r="Q63" s="5"/>
      <c r="R63" s="5"/>
      <c r="S63" s="5"/>
      <c r="T63" s="5"/>
      <c r="U63" s="5"/>
      <c r="V63" s="5"/>
      <c r="W63" s="5"/>
      <c r="X63" s="5"/>
      <c r="Y63" s="5"/>
      <c r="Z63" s="5"/>
    </row>
    <row r="64" spans="1:26" ht="15.75" customHeight="1" x14ac:dyDescent="0.35">
      <c r="A64" s="53" t="s">
        <v>31</v>
      </c>
      <c r="B64" s="52"/>
      <c r="C64" s="52"/>
      <c r="D64" s="52"/>
      <c r="E64" s="52"/>
      <c r="F64" s="52"/>
      <c r="G64" s="52"/>
      <c r="H64" s="52"/>
      <c r="I64" s="52"/>
      <c r="J64" s="52"/>
      <c r="K64" s="52"/>
      <c r="L64" s="52"/>
      <c r="M64" s="52"/>
      <c r="N64" s="32"/>
      <c r="O64" s="5"/>
      <c r="P64" s="5"/>
      <c r="Q64" s="5"/>
      <c r="R64" s="5"/>
      <c r="S64" s="5"/>
      <c r="T64" s="5"/>
      <c r="U64" s="5"/>
      <c r="V64" s="5"/>
      <c r="W64" s="5"/>
      <c r="X64" s="5"/>
      <c r="Y64" s="5"/>
      <c r="Z64" s="5"/>
    </row>
    <row r="65" spans="1:26" ht="15.75" customHeight="1" x14ac:dyDescent="0.35">
      <c r="A65" s="53" t="s">
        <v>32</v>
      </c>
      <c r="B65" s="52"/>
      <c r="C65" s="52"/>
      <c r="D65" s="52"/>
      <c r="E65" s="52"/>
      <c r="F65" s="52"/>
      <c r="G65" s="52"/>
      <c r="H65" s="52"/>
      <c r="I65" s="52"/>
      <c r="J65" s="52"/>
      <c r="K65" s="52"/>
      <c r="L65" s="52"/>
      <c r="M65" s="52"/>
      <c r="N65" s="32"/>
      <c r="O65" s="5"/>
      <c r="P65" s="5"/>
      <c r="Q65" s="5"/>
      <c r="R65" s="5"/>
      <c r="S65" s="5"/>
      <c r="T65" s="5"/>
      <c r="U65" s="5"/>
      <c r="V65" s="5"/>
      <c r="W65" s="5"/>
      <c r="X65" s="5"/>
      <c r="Y65" s="5"/>
      <c r="Z65" s="5"/>
    </row>
    <row r="66" spans="1:26" ht="15.75" customHeight="1" x14ac:dyDescent="0.35">
      <c r="A66" s="53" t="s">
        <v>33</v>
      </c>
      <c r="B66" s="52"/>
      <c r="C66" s="52"/>
      <c r="D66" s="52"/>
      <c r="E66" s="52"/>
      <c r="F66" s="52"/>
      <c r="G66" s="52"/>
      <c r="H66" s="52"/>
      <c r="I66" s="52"/>
      <c r="J66" s="52"/>
      <c r="K66" s="52"/>
      <c r="L66" s="52"/>
      <c r="M66" s="52"/>
      <c r="N66" s="32"/>
      <c r="O66" s="5"/>
      <c r="P66" s="5"/>
      <c r="Q66" s="5"/>
      <c r="R66" s="5"/>
      <c r="S66" s="5"/>
      <c r="T66" s="5"/>
      <c r="U66" s="5"/>
      <c r="V66" s="5"/>
      <c r="W66" s="5"/>
      <c r="X66" s="5"/>
      <c r="Y66" s="5"/>
      <c r="Z66" s="5"/>
    </row>
    <row r="67" spans="1:26" ht="15.75" customHeight="1" x14ac:dyDescent="0.35">
      <c r="A67" s="53" t="s">
        <v>34</v>
      </c>
      <c r="B67" s="52"/>
      <c r="C67" s="52"/>
      <c r="D67" s="52"/>
      <c r="E67" s="52"/>
      <c r="F67" s="52"/>
      <c r="G67" s="52"/>
      <c r="H67" s="52"/>
      <c r="I67" s="52"/>
      <c r="J67" s="52"/>
      <c r="K67" s="52"/>
      <c r="L67" s="52"/>
      <c r="M67" s="52"/>
    </row>
    <row r="68" spans="1:26" ht="15.75" customHeight="1" x14ac:dyDescent="0.35"/>
    <row r="69" spans="1:26" ht="21" customHeight="1" x14ac:dyDescent="0.6">
      <c r="A69" s="61" t="s">
        <v>35</v>
      </c>
      <c r="B69" s="52"/>
      <c r="C69" s="52"/>
      <c r="D69" s="52"/>
      <c r="E69" s="52"/>
      <c r="F69" s="52"/>
      <c r="G69" s="52"/>
      <c r="H69" s="52"/>
      <c r="I69" s="52"/>
      <c r="J69" s="52"/>
      <c r="K69" s="52"/>
      <c r="L69" s="52"/>
      <c r="M69" s="52"/>
      <c r="N69" s="52"/>
      <c r="O69" s="1"/>
      <c r="P69" s="1"/>
      <c r="Q69" s="1"/>
      <c r="R69" s="1"/>
      <c r="S69" s="1"/>
      <c r="T69" s="1"/>
      <c r="U69" s="1"/>
      <c r="V69" s="1"/>
      <c r="W69" s="1"/>
      <c r="X69" s="1"/>
      <c r="Y69" s="1"/>
      <c r="Z69" s="1"/>
    </row>
    <row r="70" spans="1:26" ht="15.75" customHeight="1" x14ac:dyDescent="0.35">
      <c r="K70" s="23"/>
      <c r="L70" s="23"/>
      <c r="M70" s="23"/>
      <c r="N70" s="42"/>
    </row>
    <row r="71" spans="1:26" ht="31.5" customHeight="1" x14ac:dyDescent="0.35">
      <c r="A71" s="53" t="s">
        <v>36</v>
      </c>
      <c r="B71" s="52"/>
      <c r="C71" s="52"/>
      <c r="D71" s="52"/>
      <c r="E71" s="52"/>
      <c r="F71" s="52"/>
      <c r="G71" s="52"/>
      <c r="H71" s="52"/>
      <c r="I71" s="52"/>
      <c r="J71" s="52"/>
      <c r="K71" s="52"/>
      <c r="L71" s="52"/>
      <c r="M71" s="52"/>
      <c r="N71" s="42"/>
      <c r="O71" s="5"/>
      <c r="P71" s="5"/>
      <c r="Q71" s="5"/>
      <c r="R71" s="5"/>
      <c r="S71" s="5"/>
      <c r="T71" s="5"/>
      <c r="U71" s="5"/>
      <c r="V71" s="5"/>
      <c r="W71" s="5"/>
      <c r="X71" s="5"/>
      <c r="Y71" s="5"/>
      <c r="Z71" s="5"/>
    </row>
    <row r="72" spans="1:26" ht="30.75" customHeight="1" x14ac:dyDescent="0.35">
      <c r="A72" s="53" t="s">
        <v>37</v>
      </c>
      <c r="B72" s="52"/>
      <c r="C72" s="52"/>
      <c r="D72" s="52"/>
      <c r="E72" s="52"/>
      <c r="F72" s="52"/>
      <c r="G72" s="52"/>
      <c r="H72" s="52"/>
      <c r="I72" s="52"/>
      <c r="J72" s="52"/>
      <c r="K72" s="52"/>
      <c r="L72" s="52"/>
      <c r="M72" s="52"/>
      <c r="N72" s="42"/>
    </row>
    <row r="73" spans="1:26" ht="15.75" customHeight="1" x14ac:dyDescent="0.35">
      <c r="A73" s="53" t="s">
        <v>38</v>
      </c>
      <c r="B73" s="52"/>
      <c r="C73" s="52"/>
      <c r="D73" s="52"/>
      <c r="E73" s="52"/>
      <c r="F73" s="52"/>
      <c r="G73" s="52"/>
      <c r="H73" s="52"/>
      <c r="I73" s="52"/>
      <c r="J73" s="52"/>
      <c r="K73" s="52"/>
      <c r="L73" s="52"/>
      <c r="M73" s="52"/>
      <c r="N73" s="42"/>
    </row>
    <row r="74" spans="1:26" ht="15.75" customHeight="1" x14ac:dyDescent="0.35">
      <c r="K74" s="23"/>
      <c r="L74" s="23"/>
      <c r="M74" s="23"/>
      <c r="N74" s="42"/>
    </row>
    <row r="75" spans="1:26" ht="21" customHeight="1" x14ac:dyDescent="0.6">
      <c r="A75" s="61" t="s">
        <v>39</v>
      </c>
      <c r="B75" s="52"/>
      <c r="C75" s="52"/>
      <c r="D75" s="52"/>
      <c r="E75" s="52"/>
      <c r="F75" s="52"/>
      <c r="G75" s="52"/>
      <c r="H75" s="52"/>
      <c r="I75" s="52"/>
      <c r="J75" s="52"/>
      <c r="K75" s="52"/>
      <c r="L75" s="52"/>
      <c r="M75" s="52"/>
      <c r="N75" s="52"/>
      <c r="O75" s="1"/>
      <c r="P75" s="1"/>
      <c r="Q75" s="1"/>
      <c r="R75" s="1"/>
      <c r="S75" s="1"/>
      <c r="T75" s="1"/>
      <c r="U75" s="1"/>
      <c r="V75" s="1"/>
      <c r="W75" s="1"/>
      <c r="X75" s="1"/>
      <c r="Y75" s="1"/>
      <c r="Z75" s="1"/>
    </row>
    <row r="76" spans="1:26" ht="15.75" customHeight="1" x14ac:dyDescent="0.35">
      <c r="K76" s="23"/>
      <c r="L76" s="23"/>
      <c r="M76" s="23"/>
      <c r="N76" s="42"/>
    </row>
    <row r="77" spans="1:26" ht="15.75" customHeight="1" x14ac:dyDescent="0.35">
      <c r="A77" s="53" t="s">
        <v>40</v>
      </c>
      <c r="B77" s="52"/>
      <c r="C77" s="52"/>
      <c r="D77" s="52"/>
      <c r="E77" s="52"/>
      <c r="F77" s="52"/>
      <c r="G77" s="52"/>
      <c r="H77" s="52"/>
      <c r="I77" s="52"/>
      <c r="J77" s="52"/>
      <c r="K77" s="52"/>
      <c r="L77" s="52"/>
      <c r="M77" s="52"/>
      <c r="N77" s="42"/>
      <c r="O77" s="5"/>
      <c r="P77" s="5"/>
      <c r="Q77" s="5"/>
      <c r="R77" s="5"/>
      <c r="S77" s="5"/>
      <c r="T77" s="5"/>
      <c r="U77" s="5"/>
      <c r="V77" s="5"/>
      <c r="W77" s="5"/>
      <c r="X77" s="5"/>
      <c r="Y77" s="5"/>
      <c r="Z77" s="5"/>
    </row>
    <row r="78" spans="1:26" ht="15.75" customHeight="1" x14ac:dyDescent="0.35">
      <c r="A78" s="53" t="s">
        <v>41</v>
      </c>
      <c r="B78" s="52"/>
      <c r="C78" s="52"/>
      <c r="D78" s="52"/>
      <c r="E78" s="52"/>
      <c r="F78" s="52"/>
      <c r="G78" s="52"/>
      <c r="H78" s="52"/>
      <c r="I78" s="52"/>
      <c r="J78" s="52"/>
      <c r="K78" s="52"/>
      <c r="L78" s="52"/>
      <c r="M78" s="52"/>
      <c r="N78" s="42"/>
    </row>
    <row r="79" spans="1:26" ht="15.75" customHeight="1" x14ac:dyDescent="0.35"/>
    <row r="80" spans="1:26"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7">
    <mergeCell ref="A9:M9"/>
    <mergeCell ref="A10:M10"/>
    <mergeCell ref="A11:M11"/>
    <mergeCell ref="A1:N1"/>
    <mergeCell ref="A5:M5"/>
    <mergeCell ref="A6:M6"/>
    <mergeCell ref="A7:M7"/>
    <mergeCell ref="A8:M8"/>
    <mergeCell ref="A56:M56"/>
    <mergeCell ref="A57:M57"/>
    <mergeCell ref="A19:A21"/>
    <mergeCell ref="A14:A16"/>
    <mergeCell ref="A24:A26"/>
    <mergeCell ref="A29:A31"/>
    <mergeCell ref="C19:C20"/>
    <mergeCell ref="C24:C25"/>
    <mergeCell ref="B29:B31"/>
    <mergeCell ref="A35:A39"/>
    <mergeCell ref="B35:B39"/>
    <mergeCell ref="B19:B21"/>
    <mergeCell ref="B24:B26"/>
    <mergeCell ref="B14:B16"/>
    <mergeCell ref="A58:M58"/>
    <mergeCell ref="A59:M59"/>
    <mergeCell ref="A61:N61"/>
    <mergeCell ref="A63:M63"/>
    <mergeCell ref="A73:M73"/>
    <mergeCell ref="A75:N75"/>
    <mergeCell ref="A77:M77"/>
    <mergeCell ref="A78:M78"/>
    <mergeCell ref="A64:M64"/>
    <mergeCell ref="A65:M65"/>
    <mergeCell ref="A66:M66"/>
    <mergeCell ref="A67:M67"/>
    <mergeCell ref="A69:N69"/>
    <mergeCell ref="A71:M71"/>
    <mergeCell ref="A72:M72"/>
  </mergeCells>
  <dataValidations count="4">
    <dataValidation type="list" allowBlank="1" showInputMessage="1" showErrorMessage="1" sqref="B14" xr:uid="{AFBF4396-279F-4823-B7E8-6994A1D9D40B}">
      <formula1>$M$13:$M$16</formula1>
    </dataValidation>
    <dataValidation type="list" allowBlank="1" showInputMessage="1" showErrorMessage="1" sqref="B19" xr:uid="{19898ABF-0F99-45C0-BD19-67E19D73D220}">
      <formula1>$M$18:$M$21</formula1>
    </dataValidation>
    <dataValidation type="list" allowBlank="1" showInputMessage="1" showErrorMessage="1" sqref="B24" xr:uid="{F55C0D41-8870-48EB-BA01-F8D14C0F09F6}">
      <formula1>Answers3</formula1>
    </dataValidation>
    <dataValidation type="list" allowBlank="1" showInputMessage="1" showErrorMessage="1" sqref="B29" xr:uid="{A8DD58CE-F3CE-488A-BEB2-1C5ECD34950C}">
      <formula1>Answers4</formula1>
    </dataValidation>
  </dataValidations>
  <pageMargins left="0.7" right="0.7" top="0.75" bottom="0.75" header="0" footer="0"/>
  <pageSetup orientation="landscape" r:id="rId1"/>
  <ignoredErrors>
    <ignoredError sqref="D37:D38"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2</xdr:col>
                    <xdr:colOff>0</xdr:colOff>
                    <xdr:row>33</xdr:row>
                    <xdr:rowOff>190500</xdr:rowOff>
                  </from>
                  <to>
                    <xdr:col>2</xdr:col>
                    <xdr:colOff>1130300</xdr:colOff>
                    <xdr:row>35</xdr:row>
                    <xdr:rowOff>31750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1</xdr:col>
                    <xdr:colOff>1898650</xdr:colOff>
                    <xdr:row>34</xdr:row>
                    <xdr:rowOff>196850</xdr:rowOff>
                  </from>
                  <to>
                    <xdr:col>2</xdr:col>
                    <xdr:colOff>1422400</xdr:colOff>
                    <xdr:row>36</xdr:row>
                    <xdr:rowOff>31750</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1</xdr:col>
                    <xdr:colOff>1898650</xdr:colOff>
                    <xdr:row>35</xdr:row>
                    <xdr:rowOff>190500</xdr:rowOff>
                  </from>
                  <to>
                    <xdr:col>2</xdr:col>
                    <xdr:colOff>1231900</xdr:colOff>
                    <xdr:row>37</xdr:row>
                    <xdr:rowOff>31750</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1</xdr:col>
                    <xdr:colOff>1898650</xdr:colOff>
                    <xdr:row>36</xdr:row>
                    <xdr:rowOff>203200</xdr:rowOff>
                  </from>
                  <to>
                    <xdr:col>2</xdr:col>
                    <xdr:colOff>1028700</xdr:colOff>
                    <xdr:row>38</xdr:row>
                    <xdr:rowOff>31750</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1</xdr:col>
                    <xdr:colOff>1898650</xdr:colOff>
                    <xdr:row>37</xdr:row>
                    <xdr:rowOff>196850</xdr:rowOff>
                  </from>
                  <to>
                    <xdr:col>2</xdr:col>
                    <xdr:colOff>1174750</xdr:colOff>
                    <xdr:row>39</xdr:row>
                    <xdr:rowOff>31750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D2DB-C85D-4478-9524-76BF704B7897}">
  <dimension ref="A1:D8"/>
  <sheetViews>
    <sheetView tabSelected="1" workbookViewId="0">
      <selection activeCell="B1" sqref="B1"/>
    </sheetView>
  </sheetViews>
  <sheetFormatPr defaultRowHeight="15.5" x14ac:dyDescent="0.35"/>
  <cols>
    <col min="1" max="1" width="4.1640625" style="76" customWidth="1"/>
    <col min="2" max="2" width="76.4140625" style="76" customWidth="1"/>
    <col min="3" max="3" width="14.6640625" style="76" customWidth="1"/>
    <col min="4" max="4" width="14.1640625" style="76" customWidth="1"/>
    <col min="5" max="16384" width="8.6640625" style="76"/>
  </cols>
  <sheetData>
    <row r="1" spans="1:4" ht="43.5" customHeight="1" x14ac:dyDescent="0.35">
      <c r="C1" s="77" t="s">
        <v>83</v>
      </c>
      <c r="D1" s="77" t="s">
        <v>84</v>
      </c>
    </row>
    <row r="2" spans="1:4" ht="62" x14ac:dyDescent="0.35">
      <c r="A2" s="76">
        <v>1</v>
      </c>
      <c r="B2" s="77" t="s">
        <v>78</v>
      </c>
      <c r="C2" s="76">
        <v>10</v>
      </c>
      <c r="D2" s="77">
        <v>5</v>
      </c>
    </row>
    <row r="3" spans="1:4" ht="55.5" customHeight="1" x14ac:dyDescent="0.35">
      <c r="A3" s="76">
        <v>2</v>
      </c>
      <c r="B3" s="77" t="s">
        <v>79</v>
      </c>
      <c r="C3" s="76">
        <v>20</v>
      </c>
      <c r="D3" s="77">
        <v>10</v>
      </c>
    </row>
    <row r="4" spans="1:4" ht="21.5" customHeight="1" x14ac:dyDescent="0.35">
      <c r="A4" s="76">
        <v>3</v>
      </c>
      <c r="B4" s="77" t="s">
        <v>15</v>
      </c>
      <c r="C4" s="76">
        <v>20</v>
      </c>
      <c r="D4" s="77">
        <v>10</v>
      </c>
    </row>
    <row r="5" spans="1:4" ht="40" customHeight="1" x14ac:dyDescent="0.35">
      <c r="A5" s="76">
        <v>4</v>
      </c>
      <c r="B5" s="77" t="s">
        <v>80</v>
      </c>
      <c r="C5" s="76">
        <v>20</v>
      </c>
      <c r="D5" s="77">
        <v>10</v>
      </c>
    </row>
    <row r="6" spans="1:4" ht="41.5" customHeight="1" x14ac:dyDescent="0.35">
      <c r="A6" s="76">
        <v>5</v>
      </c>
      <c r="B6" s="77" t="s">
        <v>81</v>
      </c>
      <c r="C6" s="76">
        <v>10</v>
      </c>
      <c r="D6" s="77">
        <v>5</v>
      </c>
    </row>
    <row r="7" spans="1:4" ht="31" x14ac:dyDescent="0.35">
      <c r="A7" s="76">
        <v>6</v>
      </c>
      <c r="B7" s="78" t="s">
        <v>82</v>
      </c>
      <c r="C7" s="76">
        <v>20</v>
      </c>
      <c r="D7" s="77">
        <v>10</v>
      </c>
    </row>
    <row r="8" spans="1:4" x14ac:dyDescent="0.35">
      <c r="D8" s="7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Activity 5.1</vt:lpstr>
      <vt:lpstr>Activity 5.2</vt:lpstr>
      <vt:lpstr>Rubrics</vt:lpstr>
      <vt:lpstr>Answers1</vt:lpstr>
      <vt:lpstr>Answers2</vt:lpstr>
      <vt:lpstr>Answers3</vt:lpstr>
      <vt:lpstr>Answers4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dc:creator>
  <cp:lastModifiedBy>Tamar Zedginidze</cp:lastModifiedBy>
  <dcterms:created xsi:type="dcterms:W3CDTF">2025-02-27T07:46:12Z</dcterms:created>
  <dcterms:modified xsi:type="dcterms:W3CDTF">2025-03-20T11:41:41Z</dcterms:modified>
</cp:coreProperties>
</file>