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Final files to be renamed\10 Internet safety, cyber security and encryption\Lesson 5\"/>
    </mc:Choice>
  </mc:AlternateContent>
  <xr:revisionPtr revIDLastSave="0" documentId="13_ncr:1_{E1225CDA-CED4-4AAD-AA0F-6BD2A78123BA}" xr6:coauthVersionLast="45" xr6:coauthVersionMax="45" xr10:uidLastSave="{00000000-0000-0000-0000-000000000000}"/>
  <bookViews>
    <workbookView xWindow="-120" yWindow="-120" windowWidth="29040" windowHeight="15840" xr2:uid="{1DAA5C13-5D96-4066-9647-4AD8D3434354}"/>
  </bookViews>
  <sheets>
    <sheet name="Activity 5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16" i="1" l="1"/>
  <c r="M16" i="1"/>
  <c r="AD14" i="1"/>
  <c r="M14" i="1"/>
  <c r="AD12" i="1"/>
  <c r="M12" i="1"/>
  <c r="AD10" i="1"/>
  <c r="M10" i="1"/>
</calcChain>
</file>

<file path=xl/sharedStrings.xml><?xml version="1.0" encoding="utf-8"?>
<sst xmlns="http://schemas.openxmlformats.org/spreadsheetml/2006/main" count="82" uniqueCount="42">
  <si>
    <t>Activity 5.1: The Atbash Cipher: manual encryption and decryption</t>
  </si>
  <si>
    <t>Plaintext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</si>
  <si>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</si>
  <si>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</si>
  <si>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</si>
  <si>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</si>
  <si>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</si>
  <si>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</si>
  <si>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</si>
  <si>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</si>
  <si>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</si>
  <si>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</si>
  <si>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</si>
  <si>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</si>
  <si>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</si>
  <si>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</si>
  <si>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</si>
  <si>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</si>
  <si>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</si>
  <si>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</si>
  <si>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</si>
  <si>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</si>
  <si>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</si>
  <si>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</si>
  <si>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</si>
  <si>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</si>
  <si>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</si>
  <si>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</si>
  <si>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Ciphertext</t>
  </si>
  <si>
    <t>Encrypt these messages.</t>
  </si>
  <si>
    <t>Decrypt these messages.</t>
  </si>
  <si>
    <t>Plaintext:</t>
  </si>
  <si>
    <t>ATBASH</t>
  </si>
  <si>
    <t>Ciphertext:</t>
  </si>
  <si>
    <t>HVXIVG</t>
  </si>
  <si>
    <t>IS</t>
  </si>
  <si>
    <t>ILXPVG</t>
  </si>
  <si>
    <t>VERY</t>
  </si>
  <si>
    <t>RH</t>
  </si>
  <si>
    <t>OLD</t>
  </si>
  <si>
    <t>IVZWB</t>
  </si>
  <si>
    <t>The alphabet is written twice, once forwards and once backwards. To encrypt a message, the original letter is identified in the plaintext row and the encrypted letter is taken from the cipertext row directly below it. The message 'DOG' becomes 'WLT'.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</si>
</sst>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3" fillId="2" borderId="6" xfId="0" applyFont="1" applyFill="1" applyBorder="1" applyAlignment="1" applyProtection="1">
      <alignment horizontal="center" vertical="center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0" xfId="0" quotePrefix="1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F728-3DD5-4AD6-AEDE-3EF57DACEEDF}">
  <dimension ref="B2:AE16"/>
  <sheetViews>
    <sheetView tabSelected="1" zoomScaleNormal="100" workbookViewId="0">
      <selection activeCell="B4" sqref="B4"/>
    </sheetView>
  </sheetViews>
  <sheetFormatPr defaultColWidth="9.140625" defaultRowHeight="21.75" customHeight="1" x14ac:dyDescent="0.25"/>
  <cols>
    <col min="1" max="1" width="9.140625" style="3"/>
    <col min="2" max="2" width="14.5703125" style="3" bestFit="1" customWidth="1"/>
    <col min="3" max="28" width="5" style="3" customWidth="1"/>
    <col min="29" max="16384" width="9.140625" style="3"/>
  </cols>
  <sheetData>
    <row r="2" spans="2:31" ht="21.75" customHeight="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1" s="4" customFormat="1" ht="39" customHeight="1" x14ac:dyDescent="0.25">
      <c r="B3" s="25" t="s">
        <v>41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</row>
    <row r="4" spans="2:31" ht="21.75" customHeight="1" thickBot="1" x14ac:dyDescent="0.3"/>
    <row r="5" spans="2:31" ht="21.75" customHeight="1" thickBot="1" x14ac:dyDescent="0.3">
      <c r="B5" s="5" t="s">
        <v>1</v>
      </c>
      <c r="C5" s="6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19</v>
      </c>
      <c r="U5" s="7" t="s">
        <v>20</v>
      </c>
      <c r="V5" s="7" t="s">
        <v>21</v>
      </c>
      <c r="W5" s="7" t="s">
        <v>22</v>
      </c>
      <c r="X5" s="7" t="s">
        <v>23</v>
      </c>
      <c r="Y5" s="7" t="s">
        <v>24</v>
      </c>
      <c r="Z5" s="7" t="s">
        <v>25</v>
      </c>
      <c r="AA5" s="7" t="s">
        <v>26</v>
      </c>
      <c r="AB5" s="8" t="s">
        <v>27</v>
      </c>
    </row>
    <row r="6" spans="2:31" ht="21.75" customHeight="1" thickBot="1" x14ac:dyDescent="0.3">
      <c r="B6" s="9" t="s">
        <v>28</v>
      </c>
      <c r="C6" s="10" t="s">
        <v>27</v>
      </c>
      <c r="D6" s="11" t="s">
        <v>26</v>
      </c>
      <c r="E6" s="11" t="s">
        <v>25</v>
      </c>
      <c r="F6" s="11" t="s">
        <v>24</v>
      </c>
      <c r="G6" s="11" t="s">
        <v>23</v>
      </c>
      <c r="H6" s="11" t="s">
        <v>22</v>
      </c>
      <c r="I6" s="11" t="s">
        <v>21</v>
      </c>
      <c r="J6" s="11" t="s">
        <v>20</v>
      </c>
      <c r="K6" s="11" t="s">
        <v>19</v>
      </c>
      <c r="L6" s="11" t="s">
        <v>18</v>
      </c>
      <c r="M6" s="11" t="s">
        <v>17</v>
      </c>
      <c r="N6" s="11" t="s">
        <v>16</v>
      </c>
      <c r="O6" s="11" t="s">
        <v>15</v>
      </c>
      <c r="P6" s="11" t="s">
        <v>14</v>
      </c>
      <c r="Q6" s="11" t="s">
        <v>13</v>
      </c>
      <c r="R6" s="11" t="s">
        <v>12</v>
      </c>
      <c r="S6" s="11" t="s">
        <v>11</v>
      </c>
      <c r="T6" s="11" t="s">
        <v>10</v>
      </c>
      <c r="U6" s="11" t="s">
        <v>9</v>
      </c>
      <c r="V6" s="11" t="s">
        <v>8</v>
      </c>
      <c r="W6" s="11" t="s">
        <v>7</v>
      </c>
      <c r="X6" s="11" t="s">
        <v>6</v>
      </c>
      <c r="Y6" s="11" t="s">
        <v>5</v>
      </c>
      <c r="Z6" s="11" t="s">
        <v>4</v>
      </c>
      <c r="AA6" s="11" t="s">
        <v>3</v>
      </c>
      <c r="AB6" s="12" t="s">
        <v>2</v>
      </c>
    </row>
    <row r="8" spans="2:31" ht="21.75" customHeight="1" x14ac:dyDescent="0.25">
      <c r="B8" s="13" t="s">
        <v>29</v>
      </c>
      <c r="Q8" s="13" t="s">
        <v>30</v>
      </c>
    </row>
    <row r="9" spans="2:31" ht="21.75" customHeight="1" thickBot="1" x14ac:dyDescent="0.3"/>
    <row r="10" spans="2:31" ht="21.75" customHeight="1" thickBot="1" x14ac:dyDescent="0.3">
      <c r="B10" s="3" t="s">
        <v>31</v>
      </c>
      <c r="C10" s="18" t="s">
        <v>32</v>
      </c>
      <c r="D10" s="19"/>
      <c r="E10" s="20"/>
      <c r="F10" s="17" t="s">
        <v>33</v>
      </c>
      <c r="G10" s="17"/>
      <c r="H10" s="21"/>
      <c r="I10" s="14"/>
      <c r="J10" s="15"/>
      <c r="K10" s="16"/>
      <c r="M10" s="17" t="str">
        <f>IF(I10="ZGYZHS","Correct","")</f>
        <v/>
      </c>
      <c r="N10" s="17"/>
      <c r="O10" s="17"/>
      <c r="Q10" s="22" t="s">
        <v>33</v>
      </c>
      <c r="R10" s="22"/>
      <c r="S10" s="23"/>
      <c r="T10" s="18" t="s">
        <v>34</v>
      </c>
      <c r="U10" s="19"/>
      <c r="V10" s="20"/>
      <c r="W10" s="17" t="s">
        <v>31</v>
      </c>
      <c r="X10" s="17"/>
      <c r="Y10" s="17"/>
      <c r="Z10" s="14"/>
      <c r="AA10" s="15"/>
      <c r="AB10" s="16"/>
      <c r="AD10" s="17" t="str">
        <f>IF(Z10="SECRET","Correct","")</f>
        <v/>
      </c>
      <c r="AE10" s="17"/>
    </row>
    <row r="11" spans="2:31" ht="21.75" customHeight="1" thickBot="1" x14ac:dyDescent="0.3"/>
    <row r="12" spans="2:31" ht="21.75" customHeight="1" thickBot="1" x14ac:dyDescent="0.3">
      <c r="B12" s="3" t="s">
        <v>31</v>
      </c>
      <c r="C12" s="18" t="s">
        <v>35</v>
      </c>
      <c r="D12" s="19"/>
      <c r="E12" s="20"/>
      <c r="F12" s="17" t="s">
        <v>33</v>
      </c>
      <c r="G12" s="17"/>
      <c r="H12" s="21"/>
      <c r="I12" s="14"/>
      <c r="J12" s="15"/>
      <c r="K12" s="16"/>
      <c r="M12" s="17" t="str">
        <f>IF(I12="RH","Correct","")</f>
        <v/>
      </c>
      <c r="N12" s="17"/>
      <c r="O12" s="17"/>
      <c r="Q12" s="22" t="s">
        <v>33</v>
      </c>
      <c r="R12" s="22"/>
      <c r="S12" s="23"/>
      <c r="T12" s="18" t="s">
        <v>36</v>
      </c>
      <c r="U12" s="19"/>
      <c r="V12" s="20"/>
      <c r="W12" s="24" t="s">
        <v>31</v>
      </c>
      <c r="X12" s="17"/>
      <c r="Y12" s="17"/>
      <c r="Z12" s="14"/>
      <c r="AA12" s="15"/>
      <c r="AB12" s="16"/>
      <c r="AD12" s="17" t="str">
        <f>IF(Z12="ROCKET","Correct","")</f>
        <v/>
      </c>
      <c r="AE12" s="17"/>
    </row>
    <row r="13" spans="2:31" ht="21.75" customHeight="1" thickBot="1" x14ac:dyDescent="0.3"/>
    <row r="14" spans="2:31" ht="21.75" customHeight="1" thickBot="1" x14ac:dyDescent="0.3">
      <c r="B14" s="3" t="s">
        <v>31</v>
      </c>
      <c r="C14" s="18" t="s">
        <v>37</v>
      </c>
      <c r="D14" s="19"/>
      <c r="E14" s="20"/>
      <c r="F14" s="17" t="s">
        <v>33</v>
      </c>
      <c r="G14" s="17"/>
      <c r="H14" s="21"/>
      <c r="I14" s="14"/>
      <c r="J14" s="15"/>
      <c r="K14" s="16"/>
      <c r="M14" s="17" t="str">
        <f>IF(I14="EVIB","Correct","")</f>
        <v/>
      </c>
      <c r="N14" s="17"/>
      <c r="O14" s="17"/>
      <c r="Q14" s="22" t="s">
        <v>33</v>
      </c>
      <c r="R14" s="22"/>
      <c r="S14" s="23"/>
      <c r="T14" s="18" t="s">
        <v>38</v>
      </c>
      <c r="U14" s="19"/>
      <c r="V14" s="20"/>
      <c r="W14" s="17" t="s">
        <v>31</v>
      </c>
      <c r="X14" s="17"/>
      <c r="Y14" s="17"/>
      <c r="Z14" s="14"/>
      <c r="AA14" s="15"/>
      <c r="AB14" s="16"/>
      <c r="AD14" s="17" t="str">
        <f>IF(Z14="IS","Correct","")</f>
        <v/>
      </c>
      <c r="AE14" s="17"/>
    </row>
    <row r="15" spans="2:31" ht="21.75" customHeight="1" thickBot="1" x14ac:dyDescent="0.3"/>
    <row r="16" spans="2:31" ht="21.75" customHeight="1" thickBot="1" x14ac:dyDescent="0.3">
      <c r="B16" s="3" t="s">
        <v>31</v>
      </c>
      <c r="C16" s="18" t="s">
        <v>39</v>
      </c>
      <c r="D16" s="19"/>
      <c r="E16" s="20"/>
      <c r="F16" s="17" t="s">
        <v>33</v>
      </c>
      <c r="G16" s="17"/>
      <c r="H16" s="21"/>
      <c r="I16" s="14"/>
      <c r="J16" s="15"/>
      <c r="K16" s="16"/>
      <c r="M16" s="17" t="str">
        <f>IF(I16="LOW","Correct","")</f>
        <v/>
      </c>
      <c r="N16" s="17"/>
      <c r="O16" s="17"/>
      <c r="Q16" s="22" t="s">
        <v>33</v>
      </c>
      <c r="R16" s="22"/>
      <c r="S16" s="23"/>
      <c r="T16" s="18" t="s">
        <v>40</v>
      </c>
      <c r="U16" s="19"/>
      <c r="V16" s="20"/>
      <c r="W16" s="24" t="s">
        <v>31</v>
      </c>
      <c r="X16" s="17"/>
      <c r="Y16" s="17"/>
      <c r="Z16" s="14"/>
      <c r="AA16" s="15"/>
      <c r="AB16" s="16"/>
      <c r="AD16" s="17" t="str">
        <f>IF(Z16="READY","Correct","")</f>
        <v/>
      </c>
      <c r="AE16" s="17"/>
    </row>
  </sheetData>
  <sheetProtection selectLockedCells="1"/>
  <mergeCells count="37">
    <mergeCell ref="B3:AB3"/>
    <mergeCell ref="C10:E10"/>
    <mergeCell ref="F10:H10"/>
    <mergeCell ref="I10:K10"/>
    <mergeCell ref="M10:O10"/>
    <mergeCell ref="Q10:S10"/>
    <mergeCell ref="T10:V10"/>
    <mergeCell ref="W10:Y10"/>
    <mergeCell ref="Z10:AB10"/>
    <mergeCell ref="AD10:AE10"/>
    <mergeCell ref="C12:E12"/>
    <mergeCell ref="F12:H12"/>
    <mergeCell ref="I12:K12"/>
    <mergeCell ref="M12:O12"/>
    <mergeCell ref="Q12:S12"/>
    <mergeCell ref="T12:V12"/>
    <mergeCell ref="W12:Y12"/>
    <mergeCell ref="Z12:AB12"/>
    <mergeCell ref="AD12:AE12"/>
    <mergeCell ref="T16:V16"/>
    <mergeCell ref="W16:Y16"/>
    <mergeCell ref="C14:E14"/>
    <mergeCell ref="F14:H14"/>
    <mergeCell ref="I14:K14"/>
    <mergeCell ref="M14:O14"/>
    <mergeCell ref="Q14:S14"/>
    <mergeCell ref="T14:V14"/>
    <mergeCell ref="C16:E16"/>
    <mergeCell ref="F16:H16"/>
    <mergeCell ref="I16:K16"/>
    <mergeCell ref="M16:O16"/>
    <mergeCell ref="Q16:S16"/>
    <mergeCell ref="Z16:AB16"/>
    <mergeCell ref="AD16:AE16"/>
    <mergeCell ref="W14:Y14"/>
    <mergeCell ref="Z14:AB14"/>
    <mergeCell ref="AD14:AE14"/>
  </mergeCells>
  <conditionalFormatting sqref="M10">
    <cfRule type="cellIs" dxfId="4" priority="5" operator="equal">
      <formula>"Correct"</formula>
    </cfRule>
  </conditionalFormatting>
  <conditionalFormatting sqref="AD10:AE10 AD12:AE12 AD14:AE14 AD16:AE16">
    <cfRule type="cellIs" dxfId="3" priority="4" operator="equal">
      <formula>"Correct"</formula>
    </cfRule>
  </conditionalFormatting>
  <conditionalFormatting sqref="M12">
    <cfRule type="cellIs" dxfId="2" priority="3" operator="equal">
      <formula>"Correct"</formula>
    </cfRule>
  </conditionalFormatting>
  <conditionalFormatting sqref="M14">
    <cfRule type="cellIs" dxfId="1" priority="2" operator="equal">
      <formula>"Correct"</formula>
    </cfRule>
  </conditionalFormatting>
  <conditionalFormatting sqref="M16">
    <cfRule type="cellIs" dxfId="0" priority="1" operator="equal">
      <formula>"Correct"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2021-05-25T16:28:23Z</dcterms:created>
  <dcterms:modified xsi:type="dcterms:W3CDTF">2021-06-01T14:11:11Z</dcterms:modified>
</cp:coreProperties>
</file>