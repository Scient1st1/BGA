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Final files to be renamed\10 Internet safety, cyber security and encryption\Lesson 5\"/>
    </mc:Choice>
  </mc:AlternateContent>
  <xr:revisionPtr revIDLastSave="0" documentId="8_{DF56B4EE-449E-4EC8-9E25-54395F756675}" xr6:coauthVersionLast="45" xr6:coauthVersionMax="45" xr10:uidLastSave="{00000000-0000-0000-0000-000000000000}"/>
  <bookViews>
    <workbookView xWindow="28680" yWindow="-120" windowWidth="29040" windowHeight="15840" xr2:uid="{A2650CE7-E913-4864-BB40-55F728544C9F}"/>
  </bookViews>
  <sheets>
    <sheet name="Activity 5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24" i="1" l="1"/>
  <c r="M24" i="1"/>
  <c r="AD21" i="1"/>
  <c r="M21" i="1"/>
  <c r="AD18" i="1"/>
  <c r="M18" i="1"/>
  <c r="AB7" i="1"/>
  <c r="AB8" i="1" s="1"/>
  <c r="AB9" i="1" s="1"/>
  <c r="AB10" i="1" s="1"/>
  <c r="AA7" i="1"/>
  <c r="AA8" i="1" s="1"/>
  <c r="AA9" i="1" s="1"/>
  <c r="AA10" i="1" s="1"/>
  <c r="Z7" i="1"/>
  <c r="Z8" i="1" s="1"/>
  <c r="Z9" i="1" s="1"/>
  <c r="Z10" i="1" s="1"/>
  <c r="Y7" i="1"/>
  <c r="Y8" i="1" s="1"/>
  <c r="Y9" i="1" s="1"/>
  <c r="Y10" i="1" s="1"/>
  <c r="X7" i="1"/>
  <c r="X8" i="1" s="1"/>
  <c r="X9" i="1" s="1"/>
  <c r="X10" i="1" s="1"/>
  <c r="W7" i="1"/>
  <c r="W8" i="1" s="1"/>
  <c r="W9" i="1" s="1"/>
  <c r="W10" i="1" s="1"/>
  <c r="V7" i="1"/>
  <c r="V8" i="1" s="1"/>
  <c r="V9" i="1" s="1"/>
  <c r="V10" i="1" s="1"/>
  <c r="U7" i="1"/>
  <c r="U8" i="1" s="1"/>
  <c r="U9" i="1" s="1"/>
  <c r="U10" i="1" s="1"/>
  <c r="T7" i="1"/>
  <c r="T8" i="1" s="1"/>
  <c r="T9" i="1" s="1"/>
  <c r="T10" i="1" s="1"/>
  <c r="S7" i="1"/>
  <c r="S8" i="1" s="1"/>
  <c r="S9" i="1" s="1"/>
  <c r="S10" i="1" s="1"/>
  <c r="R7" i="1"/>
  <c r="R8" i="1" s="1"/>
  <c r="R9" i="1" s="1"/>
  <c r="R10" i="1" s="1"/>
  <c r="Q7" i="1"/>
  <c r="Q8" i="1" s="1"/>
  <c r="Q9" i="1" s="1"/>
  <c r="Q10" i="1" s="1"/>
  <c r="P7" i="1"/>
  <c r="P8" i="1" s="1"/>
  <c r="P9" i="1" s="1"/>
  <c r="P10" i="1" s="1"/>
  <c r="O7" i="1"/>
  <c r="O8" i="1" s="1"/>
  <c r="O9" i="1" s="1"/>
  <c r="O10" i="1" s="1"/>
  <c r="N7" i="1"/>
  <c r="N8" i="1" s="1"/>
  <c r="N9" i="1" s="1"/>
  <c r="N10" i="1" s="1"/>
  <c r="M7" i="1"/>
  <c r="M8" i="1" s="1"/>
  <c r="M9" i="1" s="1"/>
  <c r="M10" i="1" s="1"/>
  <c r="L7" i="1"/>
  <c r="L8" i="1" s="1"/>
  <c r="L9" i="1" s="1"/>
  <c r="L10" i="1" s="1"/>
  <c r="K7" i="1"/>
  <c r="K8" i="1" s="1"/>
  <c r="K9" i="1" s="1"/>
  <c r="K10" i="1" s="1"/>
  <c r="J7" i="1"/>
  <c r="J8" i="1" s="1"/>
  <c r="J9" i="1" s="1"/>
  <c r="J10" i="1" s="1"/>
  <c r="I7" i="1"/>
  <c r="I8" i="1" s="1"/>
  <c r="I9" i="1" s="1"/>
  <c r="I10" i="1" s="1"/>
  <c r="H7" i="1"/>
  <c r="H8" i="1" s="1"/>
  <c r="H9" i="1" s="1"/>
  <c r="H10" i="1" s="1"/>
  <c r="G7" i="1"/>
  <c r="G8" i="1" s="1"/>
  <c r="G9" i="1" s="1"/>
  <c r="G10" i="1" s="1"/>
  <c r="F7" i="1"/>
  <c r="F8" i="1" s="1"/>
  <c r="F9" i="1" s="1"/>
  <c r="F10" i="1" s="1"/>
  <c r="E7" i="1"/>
  <c r="E8" i="1" s="1"/>
  <c r="E9" i="1" s="1"/>
  <c r="E10" i="1" s="1"/>
  <c r="D7" i="1"/>
  <c r="D8" i="1" s="1"/>
  <c r="D9" i="1" s="1"/>
  <c r="D10" i="1" s="1"/>
  <c r="C7" i="1"/>
  <c r="C8" i="1" s="1"/>
  <c r="C9" i="1" s="1"/>
  <c r="C10" i="1" s="1"/>
</calcChain>
</file>

<file path=xl/sharedStrings.xml><?xml version="1.0" encoding="utf-8"?>
<sst xmlns="http://schemas.openxmlformats.org/spreadsheetml/2006/main" count="63" uniqueCount="53">
  <si>
    <t>Activity 5.3: The Caesar Cipher: manual encryption and decryption</t>
  </si>
  <si>
    <t>Key</t>
  </si>
  <si>
    <t>←</t>
  </si>
  <si>
    <t>Change the key to see the new ciphertext.</t>
  </si>
  <si>
    <t>Plaintext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</si>
  <si>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</si>
  <si>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</si>
  <si>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</si>
  <si>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</si>
  <si>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</si>
  <si>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</si>
  <si>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</si>
  <si>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</si>
  <si>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</si>
  <si>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</si>
  <si>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</si>
  <si>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</si>
  <si>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</si>
  <si>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</si>
  <si>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</si>
  <si>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</si>
  <si>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</si>
  <si>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</si>
  <si>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</si>
  <si>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</si>
  <si>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</si>
  <si>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</si>
  <si>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</si>
  <si>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</si>
  <si>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</si>
  <si>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</si>
  <si>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Value</t>
  </si>
  <si>
    <t>Shifted Value</t>
  </si>
  <si>
    <t>Adjusted Value</t>
  </si>
  <si>
    <t>Ciphertext</t>
  </si>
  <si>
    <t>To encrypt a message, find each plaintext letter in the top row and write down the corresponding letter below it.</t>
  </si>
  <si>
    <t>To decrypt a letter, find each ciphertext letter in the bottom row and write down the corresponding letter above it.</t>
  </si>
  <si>
    <t>Encrypt these messages.</t>
  </si>
  <si>
    <t>Decrypt these messages.</t>
  </si>
  <si>
    <t>Key: 3</t>
  </si>
  <si>
    <t>Key: 9</t>
  </si>
  <si>
    <t>Plaintext:</t>
  </si>
  <si>
    <t>CATS</t>
  </si>
  <si>
    <t>Ciphertext:</t>
  </si>
  <si>
    <t>ODNU</t>
  </si>
  <si>
    <t>Key: 7</t>
  </si>
  <si>
    <t>Key: 16</t>
  </si>
  <si>
    <t>ARE</t>
  </si>
  <si>
    <t>YI</t>
  </si>
  <si>
    <t>Key: 13</t>
  </si>
  <si>
    <t>Key: 25</t>
  </si>
  <si>
    <t>CUTE</t>
  </si>
  <si>
    <t>QDZCX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</si>
</sst>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0" borderId="0" xfId="0" applyFont="1"/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8DF5-32AF-4F79-84D2-DB6B6ABA72A4}">
  <dimension ref="B2:AE25"/>
  <sheetViews>
    <sheetView tabSelected="1" workbookViewId="0">
      <selection activeCell="B3" sqref="B3"/>
    </sheetView>
  </sheetViews>
  <sheetFormatPr defaultColWidth="9.1796875" defaultRowHeight="21.75" customHeight="1" x14ac:dyDescent="0.35"/>
  <cols>
    <col min="1" max="1" width="9.1796875" style="2"/>
    <col min="2" max="2" width="14.6328125" style="2" bestFit="1" customWidth="1"/>
    <col min="3" max="28" width="5" style="2" customWidth="1"/>
    <col min="29" max="16384" width="9.1796875" style="2"/>
  </cols>
  <sheetData>
    <row r="2" spans="2:31" ht="21.75" customHeigh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31" ht="21.75" customHeight="1" thickBot="1" x14ac:dyDescent="0.4"/>
    <row r="4" spans="2:31" ht="21.75" customHeight="1" thickBot="1" x14ac:dyDescent="0.4">
      <c r="B4" s="3" t="s">
        <v>1</v>
      </c>
      <c r="C4" s="4">
        <v>0</v>
      </c>
      <c r="E4" s="5" t="s">
        <v>2</v>
      </c>
      <c r="F4" s="6" t="s">
        <v>3</v>
      </c>
    </row>
    <row r="5" spans="2:31" ht="21.75" customHeight="1" thickBot="1" x14ac:dyDescent="0.4"/>
    <row r="6" spans="2:31" ht="21.75" customHeight="1" thickBot="1" x14ac:dyDescent="0.4">
      <c r="B6" s="7" t="s">
        <v>4</v>
      </c>
      <c r="C6" s="8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10" t="s">
        <v>30</v>
      </c>
    </row>
    <row r="7" spans="2:31" ht="21.75" hidden="1" customHeight="1" x14ac:dyDescent="0.35">
      <c r="B7" s="11" t="s">
        <v>31</v>
      </c>
      <c r="C7" s="12">
        <f t="shared" ref="C7:AB7" si="0">CODE(C6)</f>
        <v>65</v>
      </c>
      <c r="D7" s="13">
        <f t="shared" si="0"/>
        <v>66</v>
      </c>
      <c r="E7" s="13">
        <f t="shared" si="0"/>
        <v>67</v>
      </c>
      <c r="F7" s="13">
        <f t="shared" si="0"/>
        <v>68</v>
      </c>
      <c r="G7" s="13">
        <f t="shared" si="0"/>
        <v>69</v>
      </c>
      <c r="H7" s="13">
        <f t="shared" si="0"/>
        <v>70</v>
      </c>
      <c r="I7" s="13">
        <f t="shared" si="0"/>
        <v>71</v>
      </c>
      <c r="J7" s="13">
        <f t="shared" si="0"/>
        <v>72</v>
      </c>
      <c r="K7" s="13">
        <f t="shared" si="0"/>
        <v>73</v>
      </c>
      <c r="L7" s="13">
        <f t="shared" si="0"/>
        <v>74</v>
      </c>
      <c r="M7" s="13">
        <f t="shared" si="0"/>
        <v>75</v>
      </c>
      <c r="N7" s="13">
        <f t="shared" si="0"/>
        <v>76</v>
      </c>
      <c r="O7" s="13">
        <f t="shared" si="0"/>
        <v>77</v>
      </c>
      <c r="P7" s="13">
        <f t="shared" si="0"/>
        <v>78</v>
      </c>
      <c r="Q7" s="13">
        <f t="shared" si="0"/>
        <v>79</v>
      </c>
      <c r="R7" s="13">
        <f t="shared" si="0"/>
        <v>80</v>
      </c>
      <c r="S7" s="13">
        <f t="shared" si="0"/>
        <v>81</v>
      </c>
      <c r="T7" s="13">
        <f t="shared" si="0"/>
        <v>82</v>
      </c>
      <c r="U7" s="13">
        <f t="shared" si="0"/>
        <v>83</v>
      </c>
      <c r="V7" s="13">
        <f t="shared" si="0"/>
        <v>84</v>
      </c>
      <c r="W7" s="13">
        <f t="shared" si="0"/>
        <v>85</v>
      </c>
      <c r="X7" s="13">
        <f t="shared" si="0"/>
        <v>86</v>
      </c>
      <c r="Y7" s="13">
        <f t="shared" si="0"/>
        <v>87</v>
      </c>
      <c r="Z7" s="13">
        <f t="shared" si="0"/>
        <v>88</v>
      </c>
      <c r="AA7" s="13">
        <f t="shared" si="0"/>
        <v>89</v>
      </c>
      <c r="AB7" s="14">
        <f t="shared" si="0"/>
        <v>90</v>
      </c>
    </row>
    <row r="8" spans="2:31" ht="21.75" hidden="1" customHeight="1" x14ac:dyDescent="0.35">
      <c r="B8" s="15" t="s">
        <v>32</v>
      </c>
      <c r="C8" s="16">
        <f t="shared" ref="C8:AB8" si="1">C7+$C4</f>
        <v>65</v>
      </c>
      <c r="D8" s="17">
        <f t="shared" si="1"/>
        <v>66</v>
      </c>
      <c r="E8" s="17">
        <f t="shared" si="1"/>
        <v>67</v>
      </c>
      <c r="F8" s="17">
        <f t="shared" si="1"/>
        <v>68</v>
      </c>
      <c r="G8" s="17">
        <f t="shared" si="1"/>
        <v>69</v>
      </c>
      <c r="H8" s="17">
        <f t="shared" si="1"/>
        <v>70</v>
      </c>
      <c r="I8" s="17">
        <f t="shared" si="1"/>
        <v>71</v>
      </c>
      <c r="J8" s="17">
        <f t="shared" si="1"/>
        <v>72</v>
      </c>
      <c r="K8" s="17">
        <f t="shared" si="1"/>
        <v>73</v>
      </c>
      <c r="L8" s="17">
        <f t="shared" si="1"/>
        <v>74</v>
      </c>
      <c r="M8" s="17">
        <f t="shared" si="1"/>
        <v>75</v>
      </c>
      <c r="N8" s="17">
        <f t="shared" si="1"/>
        <v>76</v>
      </c>
      <c r="O8" s="17">
        <f t="shared" si="1"/>
        <v>77</v>
      </c>
      <c r="P8" s="17">
        <f t="shared" si="1"/>
        <v>78</v>
      </c>
      <c r="Q8" s="17">
        <f t="shared" si="1"/>
        <v>79</v>
      </c>
      <c r="R8" s="17">
        <f t="shared" si="1"/>
        <v>80</v>
      </c>
      <c r="S8" s="17">
        <f t="shared" si="1"/>
        <v>81</v>
      </c>
      <c r="T8" s="17">
        <f t="shared" si="1"/>
        <v>82</v>
      </c>
      <c r="U8" s="17">
        <f t="shared" si="1"/>
        <v>83</v>
      </c>
      <c r="V8" s="17">
        <f t="shared" si="1"/>
        <v>84</v>
      </c>
      <c r="W8" s="17">
        <f t="shared" si="1"/>
        <v>85</v>
      </c>
      <c r="X8" s="17">
        <f t="shared" si="1"/>
        <v>86</v>
      </c>
      <c r="Y8" s="17">
        <f t="shared" si="1"/>
        <v>87</v>
      </c>
      <c r="Z8" s="17">
        <f t="shared" si="1"/>
        <v>88</v>
      </c>
      <c r="AA8" s="17">
        <f t="shared" si="1"/>
        <v>89</v>
      </c>
      <c r="AB8" s="18">
        <f t="shared" si="1"/>
        <v>90</v>
      </c>
    </row>
    <row r="9" spans="2:31" ht="21.75" hidden="1" customHeight="1" thickBot="1" x14ac:dyDescent="0.4">
      <c r="B9" s="19" t="s">
        <v>33</v>
      </c>
      <c r="C9" s="20">
        <f t="shared" ref="C9:AB9" si="2">IF(C8&gt;90,C8-26,C8)</f>
        <v>65</v>
      </c>
      <c r="D9" s="21">
        <f t="shared" si="2"/>
        <v>66</v>
      </c>
      <c r="E9" s="21">
        <f t="shared" si="2"/>
        <v>67</v>
      </c>
      <c r="F9" s="21">
        <f t="shared" si="2"/>
        <v>68</v>
      </c>
      <c r="G9" s="21">
        <f t="shared" si="2"/>
        <v>69</v>
      </c>
      <c r="H9" s="21">
        <f t="shared" si="2"/>
        <v>70</v>
      </c>
      <c r="I9" s="21">
        <f t="shared" si="2"/>
        <v>71</v>
      </c>
      <c r="J9" s="21">
        <f t="shared" si="2"/>
        <v>72</v>
      </c>
      <c r="K9" s="21">
        <f t="shared" si="2"/>
        <v>73</v>
      </c>
      <c r="L9" s="21">
        <f t="shared" si="2"/>
        <v>74</v>
      </c>
      <c r="M9" s="21">
        <f t="shared" si="2"/>
        <v>75</v>
      </c>
      <c r="N9" s="21">
        <f t="shared" si="2"/>
        <v>76</v>
      </c>
      <c r="O9" s="21">
        <f t="shared" si="2"/>
        <v>77</v>
      </c>
      <c r="P9" s="21">
        <f t="shared" si="2"/>
        <v>78</v>
      </c>
      <c r="Q9" s="21">
        <f t="shared" si="2"/>
        <v>79</v>
      </c>
      <c r="R9" s="21">
        <f t="shared" si="2"/>
        <v>80</v>
      </c>
      <c r="S9" s="21">
        <f t="shared" si="2"/>
        <v>81</v>
      </c>
      <c r="T9" s="21">
        <f t="shared" si="2"/>
        <v>82</v>
      </c>
      <c r="U9" s="21">
        <f t="shared" si="2"/>
        <v>83</v>
      </c>
      <c r="V9" s="21">
        <f t="shared" si="2"/>
        <v>84</v>
      </c>
      <c r="W9" s="21">
        <f t="shared" si="2"/>
        <v>85</v>
      </c>
      <c r="X9" s="21">
        <f t="shared" si="2"/>
        <v>86</v>
      </c>
      <c r="Y9" s="21">
        <f t="shared" si="2"/>
        <v>87</v>
      </c>
      <c r="Z9" s="21">
        <f t="shared" si="2"/>
        <v>88</v>
      </c>
      <c r="AA9" s="21">
        <f t="shared" si="2"/>
        <v>89</v>
      </c>
      <c r="AB9" s="22">
        <f t="shared" si="2"/>
        <v>90</v>
      </c>
    </row>
    <row r="10" spans="2:31" ht="21.75" customHeight="1" thickBot="1" x14ac:dyDescent="0.4">
      <c r="B10" s="23" t="s">
        <v>34</v>
      </c>
      <c r="C10" s="24" t="str">
        <f t="shared" ref="C10:AB10" si="3">CHAR(C9)</f>
        <v>A</v>
      </c>
      <c r="D10" s="25" t="str">
        <f t="shared" si="3"/>
        <v>B</v>
      </c>
      <c r="E10" s="25" t="str">
        <f t="shared" si="3"/>
        <v>C</v>
      </c>
      <c r="F10" s="25" t="str">
        <f t="shared" si="3"/>
        <v>D</v>
      </c>
      <c r="G10" s="25" t="str">
        <f t="shared" si="3"/>
        <v>E</v>
      </c>
      <c r="H10" s="25" t="str">
        <f t="shared" si="3"/>
        <v>F</v>
      </c>
      <c r="I10" s="25" t="str">
        <f t="shared" si="3"/>
        <v>G</v>
      </c>
      <c r="J10" s="25" t="str">
        <f t="shared" si="3"/>
        <v>H</v>
      </c>
      <c r="K10" s="25" t="str">
        <f t="shared" si="3"/>
        <v>I</v>
      </c>
      <c r="L10" s="25" t="str">
        <f t="shared" si="3"/>
        <v>J</v>
      </c>
      <c r="M10" s="25" t="str">
        <f t="shared" si="3"/>
        <v>K</v>
      </c>
      <c r="N10" s="25" t="str">
        <f t="shared" si="3"/>
        <v>L</v>
      </c>
      <c r="O10" s="25" t="str">
        <f t="shared" si="3"/>
        <v>M</v>
      </c>
      <c r="P10" s="25" t="str">
        <f t="shared" si="3"/>
        <v>N</v>
      </c>
      <c r="Q10" s="25" t="str">
        <f t="shared" si="3"/>
        <v>O</v>
      </c>
      <c r="R10" s="25" t="str">
        <f t="shared" si="3"/>
        <v>P</v>
      </c>
      <c r="S10" s="25" t="str">
        <f t="shared" si="3"/>
        <v>Q</v>
      </c>
      <c r="T10" s="25" t="str">
        <f t="shared" si="3"/>
        <v>R</v>
      </c>
      <c r="U10" s="25" t="str">
        <f t="shared" si="3"/>
        <v>S</v>
      </c>
      <c r="V10" s="25" t="str">
        <f t="shared" si="3"/>
        <v>T</v>
      </c>
      <c r="W10" s="25" t="str">
        <f t="shared" si="3"/>
        <v>U</v>
      </c>
      <c r="X10" s="25" t="str">
        <f t="shared" si="3"/>
        <v>V</v>
      </c>
      <c r="Y10" s="25" t="str">
        <f t="shared" si="3"/>
        <v>W</v>
      </c>
      <c r="Z10" s="25" t="str">
        <f t="shared" si="3"/>
        <v>X</v>
      </c>
      <c r="AA10" s="25" t="str">
        <f t="shared" si="3"/>
        <v>Y</v>
      </c>
      <c r="AB10" s="26" t="str">
        <f t="shared" si="3"/>
        <v>Z</v>
      </c>
    </row>
    <row r="12" spans="2:31" ht="21.75" customHeight="1" x14ac:dyDescent="0.35">
      <c r="B12" s="27" t="s">
        <v>35</v>
      </c>
    </row>
    <row r="13" spans="2:31" ht="21.75" customHeight="1" x14ac:dyDescent="0.35">
      <c r="B13" s="6" t="s">
        <v>36</v>
      </c>
    </row>
    <row r="14" spans="2:31" ht="21.75" customHeight="1" x14ac:dyDescent="0.35">
      <c r="B14" s="6"/>
    </row>
    <row r="15" spans="2:31" ht="21.75" customHeight="1" x14ac:dyDescent="0.35">
      <c r="B15" s="28" t="s">
        <v>37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28" t="s">
        <v>38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2:31" ht="21.75" customHeight="1" x14ac:dyDescent="0.3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2:31" ht="21.75" customHeight="1" thickBot="1" x14ac:dyDescent="0.4">
      <c r="B17" s="6" t="s">
        <v>39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9" t="s">
        <v>40</v>
      </c>
      <c r="R17" s="29"/>
      <c r="S17" s="29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2:31" ht="21.75" customHeight="1" thickBot="1" x14ac:dyDescent="0.4">
      <c r="B18" s="6" t="s">
        <v>41</v>
      </c>
      <c r="C18" s="30" t="s">
        <v>42</v>
      </c>
      <c r="D18" s="31"/>
      <c r="E18" s="32"/>
      <c r="F18" s="33" t="s">
        <v>43</v>
      </c>
      <c r="G18" s="33"/>
      <c r="H18" s="34"/>
      <c r="I18" s="35"/>
      <c r="J18" s="36"/>
      <c r="K18" s="37"/>
      <c r="L18" s="6"/>
      <c r="M18" s="33" t="str">
        <f>IF(I18="FDWV","Correct","")</f>
        <v/>
      </c>
      <c r="N18" s="33"/>
      <c r="O18" s="33"/>
      <c r="P18" s="6"/>
      <c r="Q18" s="29" t="s">
        <v>43</v>
      </c>
      <c r="R18" s="29"/>
      <c r="S18" s="38"/>
      <c r="T18" s="30" t="s">
        <v>44</v>
      </c>
      <c r="U18" s="31"/>
      <c r="V18" s="32"/>
      <c r="W18" s="33" t="s">
        <v>41</v>
      </c>
      <c r="X18" s="33"/>
      <c r="Y18" s="33"/>
      <c r="Z18" s="35"/>
      <c r="AA18" s="36"/>
      <c r="AB18" s="37"/>
      <c r="AC18" s="6"/>
      <c r="AD18" s="33" t="str">
        <f>IF(Z18="FUEL","Correct","")</f>
        <v/>
      </c>
      <c r="AE18" s="33"/>
    </row>
    <row r="19" spans="2:31" ht="21.75" customHeight="1" x14ac:dyDescent="0.3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2:31" ht="21.75" customHeight="1" thickBot="1" x14ac:dyDescent="0.4">
      <c r="B20" s="6" t="s">
        <v>45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29" t="s">
        <v>46</v>
      </c>
      <c r="R20" s="29"/>
      <c r="S20" s="29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 ht="21.75" customHeight="1" thickBot="1" x14ac:dyDescent="0.4">
      <c r="B21" s="6" t="s">
        <v>41</v>
      </c>
      <c r="C21" s="30" t="s">
        <v>47</v>
      </c>
      <c r="D21" s="31"/>
      <c r="E21" s="32"/>
      <c r="F21" s="33" t="s">
        <v>43</v>
      </c>
      <c r="G21" s="33"/>
      <c r="H21" s="34"/>
      <c r="I21" s="35"/>
      <c r="J21" s="36"/>
      <c r="K21" s="37"/>
      <c r="L21" s="6"/>
      <c r="M21" s="33" t="str">
        <f>IF(I21="HYL","Correct","")</f>
        <v/>
      </c>
      <c r="N21" s="33"/>
      <c r="O21" s="33"/>
      <c r="P21" s="6"/>
      <c r="Q21" s="29" t="s">
        <v>43</v>
      </c>
      <c r="R21" s="29"/>
      <c r="S21" s="38"/>
      <c r="T21" s="30" t="s">
        <v>48</v>
      </c>
      <c r="U21" s="31"/>
      <c r="V21" s="32"/>
      <c r="W21" s="39" t="s">
        <v>41</v>
      </c>
      <c r="X21" s="33"/>
      <c r="Y21" s="33"/>
      <c r="Z21" s="35"/>
      <c r="AA21" s="36"/>
      <c r="AB21" s="37"/>
      <c r="AC21" s="6"/>
      <c r="AD21" s="33" t="str">
        <f>IF(Z21="IS","Correct","")</f>
        <v/>
      </c>
      <c r="AE21" s="33"/>
    </row>
    <row r="22" spans="2:31" ht="21.75" customHeight="1" x14ac:dyDescent="0.3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2:31" ht="21.75" customHeight="1" thickBot="1" x14ac:dyDescent="0.4">
      <c r="B23" s="6" t="s">
        <v>49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29" t="s">
        <v>50</v>
      </c>
      <c r="R23" s="29"/>
      <c r="S23" s="29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2:31" ht="21.75" customHeight="1" thickBot="1" x14ac:dyDescent="0.4">
      <c r="B24" s="6" t="s">
        <v>41</v>
      </c>
      <c r="C24" s="30" t="s">
        <v>51</v>
      </c>
      <c r="D24" s="31"/>
      <c r="E24" s="32"/>
      <c r="F24" s="33" t="s">
        <v>43</v>
      </c>
      <c r="G24" s="33"/>
      <c r="H24" s="34"/>
      <c r="I24" s="35"/>
      <c r="J24" s="36"/>
      <c r="K24" s="37"/>
      <c r="L24" s="6"/>
      <c r="M24" s="33" t="str">
        <f>IF(I24="PHGR","Correct","")</f>
        <v/>
      </c>
      <c r="N24" s="33"/>
      <c r="O24" s="33"/>
      <c r="P24" s="6"/>
      <c r="Q24" s="29" t="s">
        <v>43</v>
      </c>
      <c r="R24" s="29"/>
      <c r="S24" s="38"/>
      <c r="T24" s="30" t="s">
        <v>52</v>
      </c>
      <c r="U24" s="31"/>
      <c r="V24" s="32"/>
      <c r="W24" s="33" t="s">
        <v>41</v>
      </c>
      <c r="X24" s="33"/>
      <c r="Y24" s="33"/>
      <c r="Z24" s="35"/>
      <c r="AA24" s="36"/>
      <c r="AB24" s="37"/>
      <c r="AC24" s="6"/>
      <c r="AD24" s="33" t="str">
        <f>IF(Z24="READY","Correct","")</f>
        <v/>
      </c>
      <c r="AE24" s="33"/>
    </row>
    <row r="25" spans="2:31" ht="21.75" customHeigh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</sheetData>
  <sheetProtection selectLockedCells="1"/>
  <protectedRanges>
    <protectedRange sqref="C4" name="Range1"/>
  </protectedRanges>
  <mergeCells count="31">
    <mergeCell ref="AD24:AE24"/>
    <mergeCell ref="AD21:AE21"/>
    <mergeCell ref="Q23:S23"/>
    <mergeCell ref="C24:E24"/>
    <mergeCell ref="F24:H24"/>
    <mergeCell ref="I24:K24"/>
    <mergeCell ref="M24:O24"/>
    <mergeCell ref="Q24:S24"/>
    <mergeCell ref="T24:V24"/>
    <mergeCell ref="W24:Y24"/>
    <mergeCell ref="Z24:AB24"/>
    <mergeCell ref="AD18:AE18"/>
    <mergeCell ref="Q20:S20"/>
    <mergeCell ref="C21:E21"/>
    <mergeCell ref="F21:H21"/>
    <mergeCell ref="I21:K21"/>
    <mergeCell ref="M21:O21"/>
    <mergeCell ref="Q21:S21"/>
    <mergeCell ref="T21:V21"/>
    <mergeCell ref="W21:Y21"/>
    <mergeCell ref="Z21:AB21"/>
    <mergeCell ref="B2:AC2"/>
    <mergeCell ref="Q17:S17"/>
    <mergeCell ref="C18:E18"/>
    <mergeCell ref="F18:H18"/>
    <mergeCell ref="I18:K18"/>
    <mergeCell ref="M18:O18"/>
    <mergeCell ref="Q18:S18"/>
    <mergeCell ref="T18:V18"/>
    <mergeCell ref="W18:Y18"/>
    <mergeCell ref="Z18:AB18"/>
  </mergeCells>
  <conditionalFormatting sqref="M18">
    <cfRule type="cellIs" dxfId="3" priority="4" operator="equal">
      <formula>"Correct"</formula>
    </cfRule>
  </conditionalFormatting>
  <conditionalFormatting sqref="AD18:AE18 AD21:AE21 AD24:AE24">
    <cfRule type="cellIs" dxfId="2" priority="3" operator="equal">
      <formula>"Correct"</formula>
    </cfRule>
  </conditionalFormatting>
  <conditionalFormatting sqref="M21">
    <cfRule type="cellIs" dxfId="1" priority="2" operator="equal">
      <formula>"Correct"</formula>
    </cfRule>
  </conditionalFormatting>
  <conditionalFormatting sqref="M24">
    <cfRule type="cellIs" dxfId="0" priority="1" operator="equal">
      <formula>"Correct"</formula>
    </cfRule>
  </conditionalFormatting>
  <dataValidations count="1">
    <dataValidation type="list" allowBlank="1" showInputMessage="1" showErrorMessage="1" sqref="C4" xr:uid="{8FCF9A47-BBA8-4F5E-B6DD-3AA5FC3796A9}">
      <formula1>"0,1,2,3,4,5,6,7,8,9,10,11,12,13,14,15,16,17,18,19,20,21,22,23,24,25"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2021-05-25T16:30:04Z</dcterms:created>
  <dcterms:modified xsi:type="dcterms:W3CDTF">2021-05-25T16:30:13Z</dcterms:modified>
</cp:coreProperties>
</file>