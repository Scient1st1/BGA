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Final files to be renamed\10 Internet safety, cyber security and encryption\Lesson 5\"/>
    </mc:Choice>
  </mc:AlternateContent>
  <xr:revisionPtr revIDLastSave="0" documentId="8_{D75BCD94-BF3A-458B-8E88-ABAC67AD9285}" xr6:coauthVersionLast="45" xr6:coauthVersionMax="45" xr10:uidLastSave="{00000000-0000-0000-0000-000000000000}"/>
  <bookViews>
    <workbookView xWindow="28680" yWindow="-120" windowWidth="29040" windowHeight="15840" xr2:uid="{6D1AE68E-5C1A-4C44-AEB4-C0A94E0E1FE2}"/>
  </bookViews>
  <sheets>
    <sheet name="Activity 5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E27" i="1" s="1"/>
  <c r="F27" i="1" s="1"/>
  <c r="C27" i="1"/>
  <c r="C26" i="1"/>
  <c r="D26" i="1" s="1"/>
  <c r="E26" i="1" s="1"/>
  <c r="F26" i="1" s="1"/>
  <c r="D25" i="1"/>
  <c r="E25" i="1" s="1"/>
  <c r="F25" i="1" s="1"/>
  <c r="C25" i="1"/>
  <c r="C24" i="1"/>
  <c r="D24" i="1" s="1"/>
  <c r="E24" i="1" s="1"/>
  <c r="F24" i="1" s="1"/>
  <c r="D23" i="1"/>
  <c r="E23" i="1" s="1"/>
  <c r="F23" i="1" s="1"/>
  <c r="C23" i="1"/>
  <c r="C22" i="1"/>
  <c r="D22" i="1" s="1"/>
  <c r="E22" i="1" s="1"/>
  <c r="F22" i="1" s="1"/>
  <c r="S21" i="1"/>
  <c r="E21" i="1"/>
  <c r="F21" i="1" s="1"/>
  <c r="D21" i="1"/>
  <c r="C21" i="1"/>
  <c r="C20" i="1"/>
  <c r="D20" i="1" s="1"/>
  <c r="E20" i="1" s="1"/>
  <c r="C19" i="1"/>
  <c r="D19" i="1" s="1"/>
  <c r="E19" i="1" s="1"/>
  <c r="S18" i="1"/>
  <c r="C18" i="1"/>
  <c r="D18" i="1" s="1"/>
  <c r="E18" i="1" s="1"/>
  <c r="F18" i="1" s="1"/>
  <c r="D17" i="1"/>
  <c r="E17" i="1" s="1"/>
  <c r="F17" i="1" s="1"/>
  <c r="C17" i="1"/>
  <c r="C16" i="1"/>
  <c r="D16" i="1" s="1"/>
  <c r="E16" i="1" s="1"/>
  <c r="F16" i="1" s="1"/>
  <c r="S15" i="1"/>
  <c r="E15" i="1"/>
  <c r="F15" i="1" s="1"/>
  <c r="D15" i="1"/>
  <c r="C15" i="1"/>
  <c r="C14" i="1"/>
  <c r="D14" i="1" s="1"/>
  <c r="E14" i="1" s="1"/>
  <c r="F14" i="1" s="1"/>
  <c r="D13" i="1"/>
  <c r="E13" i="1" s="1"/>
  <c r="F13" i="1" s="1"/>
  <c r="C13" i="1"/>
  <c r="S12" i="1"/>
  <c r="C12" i="1"/>
  <c r="D12" i="1" s="1"/>
  <c r="E12" i="1" s="1"/>
  <c r="F12" i="1" s="1"/>
  <c r="C11" i="1"/>
  <c r="D11" i="1" s="1"/>
  <c r="E11" i="1" s="1"/>
  <c r="F11" i="1" s="1"/>
  <c r="C10" i="1"/>
  <c r="D10" i="1" s="1"/>
  <c r="E10" i="1" s="1"/>
  <c r="F10" i="1" s="1"/>
  <c r="S9" i="1"/>
  <c r="D9" i="1"/>
  <c r="E9" i="1" s="1"/>
  <c r="F9" i="1" s="1"/>
  <c r="C9" i="1"/>
  <c r="C8" i="1"/>
  <c r="D8" i="1" s="1"/>
  <c r="E8" i="1" s="1"/>
  <c r="F8" i="1" s="1"/>
</calcChain>
</file>

<file path=xl/sharedStrings.xml><?xml version="1.0" encoding="utf-8"?>
<sst xmlns="http://schemas.openxmlformats.org/spreadsheetml/2006/main" count="48" uniqueCount="28">
  <si>
    <t>Activity 5.5: The Caesar Cipher: automated encryption</t>
  </si>
  <si>
    <t>Key</t>
  </si>
  <si>
    <t>Plaintext</t>
  </si>
  <si>
    <t>Value</t>
  </si>
  <si>
    <t>Shifted value</t>
  </si>
  <si>
    <t>Adjusted value</t>
  </si>
  <si>
    <t>Ciphertext</t>
  </si>
  <si>
    <t>Use the spreadsheet to encrypt the following messages.</t>
  </si>
  <si>
    <t>H</t>
  </si>
  <si>
    <t>Key: 3</t>
  </si>
  <si>
    <t>E</t>
  </si>
  <si>
    <t>Plaintext:</t>
  </si>
  <si>
    <t>SPREADSHEETS</t>
  </si>
  <si>
    <t>Ciphertext:</t>
  </si>
  <si>
    <t>L</t>
  </si>
  <si>
    <t>Key: 7</t>
  </si>
  <si>
    <t>O</t>
  </si>
  <si>
    <t>CAN BE</t>
  </si>
  <si>
    <t xml:space="preserve"> </t>
  </si>
  <si>
    <t>W</t>
  </si>
  <si>
    <t>Key: 13</t>
  </si>
  <si>
    <t>HELPFUL</t>
  </si>
  <si>
    <t>R</t>
  </si>
  <si>
    <t>Key: 17</t>
  </si>
  <si>
    <t>D</t>
  </si>
  <si>
    <t>ONCE</t>
  </si>
  <si>
    <t>Key: 22</t>
  </si>
  <si>
    <t>PROGRAMMED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</si>
</sst>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4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208E-8A43-4499-BD26-1EB4C17402FB}">
  <dimension ref="B2:U90"/>
  <sheetViews>
    <sheetView tabSelected="1" workbookViewId="0">
      <selection activeCell="F23" sqref="F23"/>
    </sheetView>
  </sheetViews>
  <sheetFormatPr defaultColWidth="9.1796875" defaultRowHeight="14.5" x14ac:dyDescent="0.35"/>
  <cols>
    <col min="1" max="1" width="9.1796875" style="2"/>
    <col min="2" max="6" width="14.6328125" style="2" customWidth="1"/>
    <col min="7" max="7" width="14" style="2" customWidth="1"/>
    <col min="8" max="8" width="12.81640625" style="2" customWidth="1"/>
    <col min="9" max="21" width="6.1796875" style="2" customWidth="1"/>
    <col min="22" max="16384" width="9.1796875" style="2"/>
  </cols>
  <sheetData>
    <row r="2" spans="2:21" ht="26" x14ac:dyDescent="0.3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21" ht="16" thickBot="1" x14ac:dyDescent="0.4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2:21" ht="16" thickBot="1" x14ac:dyDescent="0.4">
      <c r="B4" s="4" t="s">
        <v>1</v>
      </c>
      <c r="C4" s="5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2:21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2:21" ht="16" thickBot="1" x14ac:dyDescent="0.4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2:21" ht="25.5" customHeight="1" x14ac:dyDescent="0.35">
      <c r="B7" s="6" t="s">
        <v>2</v>
      </c>
      <c r="C7" s="7" t="s">
        <v>3</v>
      </c>
      <c r="D7" s="7" t="s">
        <v>4</v>
      </c>
      <c r="E7" s="7" t="s">
        <v>5</v>
      </c>
      <c r="F7" s="8" t="s">
        <v>6</v>
      </c>
      <c r="G7" s="3"/>
      <c r="H7" s="9" t="s">
        <v>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2:21" ht="25.5" customHeight="1" thickBot="1" x14ac:dyDescent="0.4">
      <c r="B8" s="11" t="s">
        <v>8</v>
      </c>
      <c r="C8" s="12">
        <f t="shared" ref="C8:E26" si="0">IF(CODE(B8)&lt;65,32,CODE(B8))</f>
        <v>72</v>
      </c>
      <c r="D8" s="12">
        <f t="shared" ref="D8:D26" si="1">IF(C8=32,32,C8+C$4)</f>
        <v>72</v>
      </c>
      <c r="E8" s="12">
        <f t="shared" ref="E8:E26" si="2">IF(D8&gt;90,D8-26,D8)</f>
        <v>72</v>
      </c>
      <c r="F8" s="13" t="str">
        <f t="shared" ref="F8:F26" si="3">CHAR(E8)</f>
        <v>H</v>
      </c>
      <c r="G8" s="3"/>
      <c r="H8" s="10" t="s">
        <v>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2:21" ht="25.5" customHeight="1" thickBot="1" x14ac:dyDescent="0.4">
      <c r="B9" s="11" t="s">
        <v>10</v>
      </c>
      <c r="C9" s="12">
        <f t="shared" si="0"/>
        <v>69</v>
      </c>
      <c r="D9" s="12">
        <f t="shared" si="1"/>
        <v>69</v>
      </c>
      <c r="E9" s="12">
        <f t="shared" si="2"/>
        <v>69</v>
      </c>
      <c r="F9" s="13" t="str">
        <f t="shared" si="3"/>
        <v>E</v>
      </c>
      <c r="G9" s="3"/>
      <c r="H9" s="10" t="s">
        <v>11</v>
      </c>
      <c r="I9" s="14" t="s">
        <v>12</v>
      </c>
      <c r="J9" s="15"/>
      <c r="K9" s="16"/>
      <c r="L9" s="17" t="s">
        <v>13</v>
      </c>
      <c r="M9" s="17"/>
      <c r="N9" s="18"/>
      <c r="O9" s="19"/>
      <c r="P9" s="20"/>
      <c r="Q9" s="21"/>
      <c r="R9" s="10"/>
      <c r="S9" s="17" t="str">
        <f>IF(O9="VSUHDGVKHHWV","Correct","")</f>
        <v/>
      </c>
      <c r="T9" s="17"/>
      <c r="U9" s="17"/>
    </row>
    <row r="10" spans="2:21" ht="25.5" customHeight="1" x14ac:dyDescent="0.35">
      <c r="B10" s="11" t="s">
        <v>14</v>
      </c>
      <c r="C10" s="12">
        <f t="shared" si="0"/>
        <v>76</v>
      </c>
      <c r="D10" s="12">
        <f t="shared" si="1"/>
        <v>76</v>
      </c>
      <c r="E10" s="12">
        <f t="shared" si="2"/>
        <v>76</v>
      </c>
      <c r="F10" s="13" t="str">
        <f t="shared" si="3"/>
        <v>L</v>
      </c>
      <c r="G10" s="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2:21" ht="25.5" customHeight="1" thickBot="1" x14ac:dyDescent="0.4">
      <c r="B11" s="11" t="s">
        <v>14</v>
      </c>
      <c r="C11" s="12">
        <f t="shared" si="0"/>
        <v>76</v>
      </c>
      <c r="D11" s="12">
        <f t="shared" si="1"/>
        <v>76</v>
      </c>
      <c r="E11" s="12">
        <f t="shared" si="2"/>
        <v>76</v>
      </c>
      <c r="F11" s="13" t="str">
        <f t="shared" si="3"/>
        <v>L</v>
      </c>
      <c r="G11" s="3"/>
      <c r="H11" s="10" t="s">
        <v>15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2:21" ht="25.5" customHeight="1" thickBot="1" x14ac:dyDescent="0.4">
      <c r="B12" s="11" t="s">
        <v>16</v>
      </c>
      <c r="C12" s="12">
        <f t="shared" si="0"/>
        <v>79</v>
      </c>
      <c r="D12" s="12">
        <f t="shared" si="1"/>
        <v>79</v>
      </c>
      <c r="E12" s="12">
        <f t="shared" si="2"/>
        <v>79</v>
      </c>
      <c r="F12" s="13" t="str">
        <f t="shared" si="3"/>
        <v>O</v>
      </c>
      <c r="G12" s="3"/>
      <c r="H12" s="10" t="s">
        <v>11</v>
      </c>
      <c r="I12" s="14" t="s">
        <v>17</v>
      </c>
      <c r="J12" s="15"/>
      <c r="K12" s="16"/>
      <c r="L12" s="17" t="s">
        <v>13</v>
      </c>
      <c r="M12" s="17"/>
      <c r="N12" s="18"/>
      <c r="O12" s="19"/>
      <c r="P12" s="20"/>
      <c r="Q12" s="21"/>
      <c r="R12" s="10"/>
      <c r="S12" s="17" t="str">
        <f>IF(O12="JHU IL","Correct","")</f>
        <v/>
      </c>
      <c r="T12" s="17"/>
      <c r="U12" s="17"/>
    </row>
    <row r="13" spans="2:21" ht="25.5" customHeight="1" x14ac:dyDescent="0.35">
      <c r="B13" s="11" t="s">
        <v>18</v>
      </c>
      <c r="C13" s="12">
        <f t="shared" si="0"/>
        <v>32</v>
      </c>
      <c r="D13" s="12">
        <f t="shared" si="0"/>
        <v>32</v>
      </c>
      <c r="E13" s="12">
        <f t="shared" si="0"/>
        <v>32</v>
      </c>
      <c r="F13" s="13" t="str">
        <f t="shared" si="3"/>
        <v xml:space="preserve"> </v>
      </c>
      <c r="G13" s="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1" ht="25.5" customHeight="1" thickBot="1" x14ac:dyDescent="0.4">
      <c r="B14" s="11" t="s">
        <v>19</v>
      </c>
      <c r="C14" s="12">
        <f t="shared" si="0"/>
        <v>87</v>
      </c>
      <c r="D14" s="12">
        <f t="shared" si="1"/>
        <v>87</v>
      </c>
      <c r="E14" s="12">
        <f t="shared" si="2"/>
        <v>87</v>
      </c>
      <c r="F14" s="13" t="str">
        <f t="shared" si="3"/>
        <v>W</v>
      </c>
      <c r="G14" s="3"/>
      <c r="H14" s="10" t="s">
        <v>20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2:21" ht="25.5" customHeight="1" thickBot="1" x14ac:dyDescent="0.4">
      <c r="B15" s="11" t="s">
        <v>16</v>
      </c>
      <c r="C15" s="12">
        <f t="shared" si="0"/>
        <v>79</v>
      </c>
      <c r="D15" s="12">
        <f t="shared" si="1"/>
        <v>79</v>
      </c>
      <c r="E15" s="12">
        <f t="shared" si="2"/>
        <v>79</v>
      </c>
      <c r="F15" s="13" t="str">
        <f t="shared" si="3"/>
        <v>O</v>
      </c>
      <c r="G15" s="3"/>
      <c r="H15" s="10" t="s">
        <v>11</v>
      </c>
      <c r="I15" s="14" t="s">
        <v>21</v>
      </c>
      <c r="J15" s="15"/>
      <c r="K15" s="16"/>
      <c r="L15" s="17" t="s">
        <v>13</v>
      </c>
      <c r="M15" s="17"/>
      <c r="N15" s="18"/>
      <c r="O15" s="19"/>
      <c r="P15" s="20"/>
      <c r="Q15" s="21"/>
      <c r="R15" s="10"/>
      <c r="S15" s="17" t="str">
        <f>IF(O15="URYCSHY","Correct","")</f>
        <v/>
      </c>
      <c r="T15" s="17"/>
      <c r="U15" s="17"/>
    </row>
    <row r="16" spans="2:21" ht="25.5" customHeight="1" x14ac:dyDescent="0.35">
      <c r="B16" s="11" t="s">
        <v>22</v>
      </c>
      <c r="C16" s="12">
        <f t="shared" si="0"/>
        <v>82</v>
      </c>
      <c r="D16" s="12">
        <f t="shared" si="1"/>
        <v>82</v>
      </c>
      <c r="E16" s="12">
        <f t="shared" si="2"/>
        <v>82</v>
      </c>
      <c r="F16" s="13" t="str">
        <f t="shared" si="3"/>
        <v>R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2:21" ht="25.5" customHeight="1" thickBot="1" x14ac:dyDescent="0.4">
      <c r="B17" s="11" t="s">
        <v>14</v>
      </c>
      <c r="C17" s="12">
        <f t="shared" si="0"/>
        <v>76</v>
      </c>
      <c r="D17" s="12">
        <f t="shared" si="1"/>
        <v>76</v>
      </c>
      <c r="E17" s="12">
        <f t="shared" si="2"/>
        <v>76</v>
      </c>
      <c r="F17" s="13" t="str">
        <f t="shared" si="3"/>
        <v>L</v>
      </c>
      <c r="G17" s="3"/>
      <c r="H17" s="10" t="s">
        <v>23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2:21" ht="25.5" customHeight="1" thickBot="1" x14ac:dyDescent="0.4">
      <c r="B18" s="11" t="s">
        <v>24</v>
      </c>
      <c r="C18" s="12">
        <f t="shared" si="0"/>
        <v>68</v>
      </c>
      <c r="D18" s="12">
        <f t="shared" si="1"/>
        <v>68</v>
      </c>
      <c r="E18" s="12">
        <f t="shared" si="2"/>
        <v>68</v>
      </c>
      <c r="F18" s="13" t="str">
        <f t="shared" si="3"/>
        <v>D</v>
      </c>
      <c r="G18" s="3"/>
      <c r="H18" s="10" t="s">
        <v>11</v>
      </c>
      <c r="I18" s="14" t="s">
        <v>25</v>
      </c>
      <c r="J18" s="15"/>
      <c r="K18" s="16"/>
      <c r="L18" s="17" t="s">
        <v>13</v>
      </c>
      <c r="M18" s="17"/>
      <c r="N18" s="18"/>
      <c r="O18" s="19"/>
      <c r="P18" s="20"/>
      <c r="Q18" s="21"/>
      <c r="R18" s="10"/>
      <c r="S18" s="17" t="str">
        <f>IF(O18="FETV","Correct","")</f>
        <v/>
      </c>
      <c r="T18" s="17"/>
      <c r="U18" s="17"/>
    </row>
    <row r="19" spans="2:21" ht="25.5" customHeight="1" x14ac:dyDescent="0.35">
      <c r="B19" s="11" t="s">
        <v>18</v>
      </c>
      <c r="C19" s="12">
        <f t="shared" si="0"/>
        <v>32</v>
      </c>
      <c r="D19" s="12">
        <f t="shared" si="1"/>
        <v>32</v>
      </c>
      <c r="E19" s="12">
        <f t="shared" si="2"/>
        <v>32</v>
      </c>
      <c r="F19" s="13"/>
      <c r="G19" s="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2:21" ht="25.5" customHeight="1" thickBot="1" x14ac:dyDescent="0.4">
      <c r="B20" s="11" t="s">
        <v>18</v>
      </c>
      <c r="C20" s="12">
        <f t="shared" si="0"/>
        <v>32</v>
      </c>
      <c r="D20" s="12">
        <f t="shared" si="1"/>
        <v>32</v>
      </c>
      <c r="E20" s="12">
        <f t="shared" si="2"/>
        <v>32</v>
      </c>
      <c r="F20" s="13"/>
      <c r="G20" s="3"/>
      <c r="H20" s="10" t="s">
        <v>26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1" ht="25.5" customHeight="1" thickBot="1" x14ac:dyDescent="0.4">
      <c r="B21" s="11" t="s">
        <v>18</v>
      </c>
      <c r="C21" s="12">
        <f t="shared" si="0"/>
        <v>32</v>
      </c>
      <c r="D21" s="12">
        <f t="shared" si="1"/>
        <v>32</v>
      </c>
      <c r="E21" s="12">
        <f t="shared" si="2"/>
        <v>32</v>
      </c>
      <c r="F21" s="13" t="str">
        <f t="shared" si="3"/>
        <v xml:space="preserve"> </v>
      </c>
      <c r="G21" s="3"/>
      <c r="H21" s="10" t="s">
        <v>11</v>
      </c>
      <c r="I21" s="14" t="s">
        <v>27</v>
      </c>
      <c r="J21" s="15"/>
      <c r="K21" s="16"/>
      <c r="L21" s="17" t="s">
        <v>13</v>
      </c>
      <c r="M21" s="17"/>
      <c r="N21" s="18"/>
      <c r="O21" s="19"/>
      <c r="P21" s="20"/>
      <c r="Q21" s="21"/>
      <c r="R21" s="10"/>
      <c r="S21" s="17" t="str">
        <f>IF(O21="LNKCNWIIAZ","Correct","")</f>
        <v/>
      </c>
      <c r="T21" s="17"/>
      <c r="U21" s="17"/>
    </row>
    <row r="22" spans="2:21" ht="25.5" customHeight="1" x14ac:dyDescent="0.35">
      <c r="B22" s="11" t="s">
        <v>18</v>
      </c>
      <c r="C22" s="12">
        <f t="shared" si="0"/>
        <v>32</v>
      </c>
      <c r="D22" s="12">
        <f t="shared" si="1"/>
        <v>32</v>
      </c>
      <c r="E22" s="12">
        <f t="shared" si="2"/>
        <v>32</v>
      </c>
      <c r="F22" s="13" t="str">
        <f t="shared" si="3"/>
        <v xml:space="preserve"> </v>
      </c>
      <c r="G22" s="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2:21" ht="25.5" customHeight="1" x14ac:dyDescent="0.35">
      <c r="B23" s="11" t="s">
        <v>18</v>
      </c>
      <c r="C23" s="12">
        <f t="shared" si="0"/>
        <v>32</v>
      </c>
      <c r="D23" s="12">
        <f t="shared" si="1"/>
        <v>32</v>
      </c>
      <c r="E23" s="12">
        <f t="shared" si="2"/>
        <v>32</v>
      </c>
      <c r="F23" s="13" t="str">
        <f t="shared" si="3"/>
        <v xml:space="preserve"> </v>
      </c>
      <c r="G23" s="3"/>
      <c r="H23" s="10"/>
      <c r="I23" s="17"/>
      <c r="J23" s="17"/>
      <c r="K23" s="17"/>
      <c r="L23" s="17"/>
      <c r="M23" s="17"/>
      <c r="N23" s="17"/>
      <c r="O23" s="22"/>
      <c r="P23" s="22"/>
      <c r="Q23" s="22"/>
      <c r="R23" s="10"/>
      <c r="S23" s="17"/>
      <c r="T23" s="17"/>
      <c r="U23" s="17"/>
    </row>
    <row r="24" spans="2:21" ht="25.5" customHeight="1" x14ac:dyDescent="0.35">
      <c r="B24" s="11" t="s">
        <v>18</v>
      </c>
      <c r="C24" s="12">
        <f t="shared" si="0"/>
        <v>32</v>
      </c>
      <c r="D24" s="12">
        <f t="shared" si="1"/>
        <v>32</v>
      </c>
      <c r="E24" s="12">
        <f t="shared" si="2"/>
        <v>32</v>
      </c>
      <c r="F24" s="13" t="str">
        <f t="shared" si="3"/>
        <v xml:space="preserve"> </v>
      </c>
      <c r="G24" s="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2:21" ht="25.5" customHeight="1" x14ac:dyDescent="0.35">
      <c r="B25" s="11" t="s">
        <v>18</v>
      </c>
      <c r="C25" s="12">
        <f t="shared" si="0"/>
        <v>32</v>
      </c>
      <c r="D25" s="12">
        <f t="shared" si="1"/>
        <v>32</v>
      </c>
      <c r="E25" s="12">
        <f t="shared" si="2"/>
        <v>32</v>
      </c>
      <c r="F25" s="13" t="str">
        <f t="shared" si="3"/>
        <v xml:space="preserve"> </v>
      </c>
      <c r="G25" s="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2:21" ht="25.5" customHeight="1" x14ac:dyDescent="0.35">
      <c r="B26" s="11" t="s">
        <v>18</v>
      </c>
      <c r="C26" s="12">
        <f t="shared" si="0"/>
        <v>32</v>
      </c>
      <c r="D26" s="12">
        <f t="shared" si="1"/>
        <v>32</v>
      </c>
      <c r="E26" s="12">
        <f t="shared" si="2"/>
        <v>32</v>
      </c>
      <c r="F26" s="13" t="str">
        <f t="shared" si="3"/>
        <v xml:space="preserve"> </v>
      </c>
      <c r="G26" s="3"/>
      <c r="H26" s="10"/>
      <c r="I26" s="17"/>
      <c r="J26" s="17"/>
      <c r="K26" s="17"/>
      <c r="L26" s="17"/>
      <c r="M26" s="17"/>
      <c r="N26" s="17"/>
      <c r="O26" s="22"/>
      <c r="P26" s="22"/>
      <c r="Q26" s="22"/>
      <c r="R26" s="10"/>
      <c r="S26" s="17"/>
      <c r="T26" s="17"/>
      <c r="U26" s="17"/>
    </row>
    <row r="27" spans="2:21" ht="25.5" customHeight="1" thickBot="1" x14ac:dyDescent="0.4">
      <c r="B27" s="23" t="s">
        <v>18</v>
      </c>
      <c r="C27" s="24">
        <f>IF(CODE(B27)&lt;65,32,CODE(B27))</f>
        <v>32</v>
      </c>
      <c r="D27" s="24">
        <f>IF(C27=32,32,C27+C$4)</f>
        <v>32</v>
      </c>
      <c r="E27" s="24">
        <f>IF(D27&gt;90,D27-26,D27)</f>
        <v>32</v>
      </c>
      <c r="F27" s="25" t="str">
        <f>CHAR(E27)</f>
        <v xml:space="preserve"> 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ht="25.5" customHeight="1" x14ac:dyDescent="0.35"/>
    <row r="29" spans="2:21" ht="25.5" customHeight="1" x14ac:dyDescent="0.35"/>
    <row r="30" spans="2:21" ht="25.5" customHeight="1" x14ac:dyDescent="0.35"/>
    <row r="31" spans="2:21" ht="25.5" customHeight="1" x14ac:dyDescent="0.35"/>
    <row r="32" spans="2:21" ht="25.5" customHeight="1" x14ac:dyDescent="0.35"/>
    <row r="33" ht="25.5" customHeight="1" x14ac:dyDescent="0.35"/>
    <row r="34" ht="25.5" customHeight="1" x14ac:dyDescent="0.35"/>
    <row r="35" ht="25.5" customHeight="1" x14ac:dyDescent="0.35"/>
    <row r="36" ht="25.5" customHeight="1" x14ac:dyDescent="0.35"/>
    <row r="37" ht="25.5" customHeight="1" x14ac:dyDescent="0.35"/>
    <row r="38" ht="25.5" customHeight="1" x14ac:dyDescent="0.35"/>
    <row r="39" ht="25.5" customHeight="1" x14ac:dyDescent="0.35"/>
    <row r="40" ht="25.5" customHeight="1" x14ac:dyDescent="0.35"/>
    <row r="41" ht="25.5" customHeight="1" x14ac:dyDescent="0.35"/>
    <row r="42" ht="25.5" customHeight="1" x14ac:dyDescent="0.35"/>
    <row r="43" ht="25.5" customHeight="1" x14ac:dyDescent="0.35"/>
    <row r="44" ht="25.5" customHeight="1" x14ac:dyDescent="0.35"/>
    <row r="45" ht="25.5" customHeight="1" x14ac:dyDescent="0.35"/>
    <row r="46" ht="25.5" customHeight="1" x14ac:dyDescent="0.35"/>
    <row r="47" ht="25.5" customHeight="1" x14ac:dyDescent="0.35"/>
    <row r="48" ht="25.5" customHeight="1" x14ac:dyDescent="0.35"/>
    <row r="49" ht="25.5" customHeight="1" x14ac:dyDescent="0.35"/>
    <row r="50" ht="25.5" customHeight="1" x14ac:dyDescent="0.35"/>
    <row r="51" ht="25.5" customHeight="1" x14ac:dyDescent="0.35"/>
    <row r="52" ht="25.5" customHeight="1" x14ac:dyDescent="0.35"/>
    <row r="53" ht="25.5" customHeight="1" x14ac:dyDescent="0.35"/>
    <row r="54" ht="25.5" customHeight="1" x14ac:dyDescent="0.35"/>
    <row r="55" ht="25.5" customHeight="1" x14ac:dyDescent="0.35"/>
    <row r="56" ht="25.5" customHeight="1" x14ac:dyDescent="0.35"/>
    <row r="57" ht="25.5" customHeight="1" x14ac:dyDescent="0.35"/>
    <row r="58" ht="25.5" customHeight="1" x14ac:dyDescent="0.35"/>
    <row r="59" ht="25.5" customHeight="1" x14ac:dyDescent="0.35"/>
    <row r="60" ht="25.5" customHeight="1" x14ac:dyDescent="0.35"/>
    <row r="61" ht="25.5" customHeight="1" x14ac:dyDescent="0.35"/>
    <row r="62" ht="25.5" customHeight="1" x14ac:dyDescent="0.35"/>
    <row r="63" ht="25.5" customHeight="1" x14ac:dyDescent="0.35"/>
    <row r="64" ht="25.5" customHeight="1" x14ac:dyDescent="0.35"/>
    <row r="65" ht="25.5" customHeight="1" x14ac:dyDescent="0.35"/>
    <row r="66" ht="25.5" customHeight="1" x14ac:dyDescent="0.35"/>
    <row r="67" ht="25.5" customHeight="1" x14ac:dyDescent="0.35"/>
    <row r="68" ht="25.5" customHeight="1" x14ac:dyDescent="0.35"/>
    <row r="69" ht="25.5" customHeight="1" x14ac:dyDescent="0.35"/>
    <row r="70" ht="25.5" customHeight="1" x14ac:dyDescent="0.35"/>
    <row r="71" ht="25.5" customHeight="1" x14ac:dyDescent="0.35"/>
    <row r="72" ht="25.5" customHeight="1" x14ac:dyDescent="0.35"/>
    <row r="73" ht="25.5" customHeight="1" x14ac:dyDescent="0.35"/>
    <row r="74" ht="25.5" customHeight="1" x14ac:dyDescent="0.35"/>
    <row r="75" ht="25.5" customHeight="1" x14ac:dyDescent="0.35"/>
    <row r="76" ht="25.5" customHeight="1" x14ac:dyDescent="0.35"/>
    <row r="77" ht="25.5" customHeight="1" x14ac:dyDescent="0.35"/>
    <row r="78" ht="25.5" customHeight="1" x14ac:dyDescent="0.35"/>
    <row r="79" ht="25.5" customHeight="1" x14ac:dyDescent="0.35"/>
    <row r="80" ht="25.5" customHeight="1" x14ac:dyDescent="0.35"/>
    <row r="81" ht="25.5" customHeight="1" x14ac:dyDescent="0.35"/>
    <row r="82" ht="25.5" customHeight="1" x14ac:dyDescent="0.35"/>
    <row r="83" ht="25.5" customHeight="1" x14ac:dyDescent="0.35"/>
    <row r="84" ht="25.5" customHeight="1" x14ac:dyDescent="0.35"/>
    <row r="85" ht="25.5" customHeight="1" x14ac:dyDescent="0.35"/>
    <row r="86" ht="25.5" customHeight="1" x14ac:dyDescent="0.35"/>
    <row r="87" ht="25.5" customHeight="1" x14ac:dyDescent="0.35"/>
    <row r="88" ht="25.5" customHeight="1" x14ac:dyDescent="0.35"/>
    <row r="89" ht="25.5" customHeight="1" x14ac:dyDescent="0.35"/>
    <row r="90" ht="25.5" customHeight="1" x14ac:dyDescent="0.35"/>
  </sheetData>
  <sheetProtection selectLockedCells="1"/>
  <mergeCells count="29">
    <mergeCell ref="I26:K26"/>
    <mergeCell ref="L26:N26"/>
    <mergeCell ref="O26:Q26"/>
    <mergeCell ref="S26:U26"/>
    <mergeCell ref="I21:K21"/>
    <mergeCell ref="L21:N21"/>
    <mergeCell ref="O21:Q21"/>
    <mergeCell ref="S21:U21"/>
    <mergeCell ref="I23:K23"/>
    <mergeCell ref="L23:N23"/>
    <mergeCell ref="O23:Q23"/>
    <mergeCell ref="S23:U23"/>
    <mergeCell ref="I15:K15"/>
    <mergeCell ref="L15:N15"/>
    <mergeCell ref="O15:Q15"/>
    <mergeCell ref="S15:U15"/>
    <mergeCell ref="I18:K18"/>
    <mergeCell ref="L18:N18"/>
    <mergeCell ref="O18:Q18"/>
    <mergeCell ref="S18:U18"/>
    <mergeCell ref="B2:J2"/>
    <mergeCell ref="I9:K9"/>
    <mergeCell ref="L9:N9"/>
    <mergeCell ref="O9:Q9"/>
    <mergeCell ref="S9:U9"/>
    <mergeCell ref="I12:K12"/>
    <mergeCell ref="L12:N12"/>
    <mergeCell ref="O12:Q12"/>
    <mergeCell ref="S12:U12"/>
  </mergeCells>
  <conditionalFormatting sqref="S9">
    <cfRule type="cellIs" dxfId="6" priority="7" operator="equal">
      <formula>"Correct"</formula>
    </cfRule>
  </conditionalFormatting>
  <conditionalFormatting sqref="S12">
    <cfRule type="cellIs" dxfId="5" priority="6" operator="equal">
      <formula>"Correct"</formula>
    </cfRule>
  </conditionalFormatting>
  <conditionalFormatting sqref="S15">
    <cfRule type="cellIs" dxfId="4" priority="5" operator="equal">
      <formula>"Correct"</formula>
    </cfRule>
  </conditionalFormatting>
  <conditionalFormatting sqref="S26">
    <cfRule type="cellIs" dxfId="3" priority="3" operator="equal">
      <formula>"Correct"</formula>
    </cfRule>
  </conditionalFormatting>
  <conditionalFormatting sqref="S23">
    <cfRule type="cellIs" dxfId="2" priority="4" operator="equal">
      <formula>"Correct"</formula>
    </cfRule>
  </conditionalFormatting>
  <conditionalFormatting sqref="S18">
    <cfRule type="cellIs" dxfId="1" priority="2" operator="equal">
      <formula>"Correct"</formula>
    </cfRule>
  </conditionalFormatting>
  <conditionalFormatting sqref="S21">
    <cfRule type="cellIs" dxfId="0" priority="1" operator="equal">
      <formula>"Correct"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2021-05-25T16:31:08Z</dcterms:created>
  <dcterms:modified xsi:type="dcterms:W3CDTF">2021-05-25T16:31:18Z</dcterms:modified>
</cp:coreProperties>
</file>