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<sst xmlns="http://schemas.openxmlformats.org/spreadsheetml/2006/main" count="143" uniqueCount="61">
  <si>
    <t>NC Aims Covered in the Presentation Skills Unit</t>
  </si>
  <si>
    <t>End of Unit Assessment | Computing | Year 2 | Presentation Skills</t>
  </si>
  <si>
    <t>Lesson Aim</t>
  </si>
  <si>
    <t>Success Criteria</t>
  </si>
  <si>
    <t xml:space="preserve">All  </t>
  </si>
  <si>
    <t>Use technology safely and respectfully.</t>
  </si>
  <si>
    <t xml:space="preserve">Most  </t>
  </si>
  <si>
    <t xml:space="preserve">Some  </t>
  </si>
  <si>
    <t>Use technology purposefully to create, organise, store, manipulate and retrieve digital content.</t>
  </si>
  <si>
    <t>*Insert a character against the criteria the child has met. If they have not met the criteria leave it blank.*</t>
  </si>
  <si>
    <t>Insert slides, add and type in a text box.</t>
  </si>
  <si>
    <t>Name</t>
  </si>
  <si>
    <t>Create folders, print files, add images, format text and text boxes.</t>
  </si>
  <si>
    <t>Save files in an organised folder structure, search for files on the computer, set windows side by side, format text boxes and images, reorder slides and present their presentation.</t>
  </si>
  <si>
    <t>% of class</t>
  </si>
  <si>
    <t>% met by child</t>
  </si>
  <si>
    <t>Has the child met the all and most statements?</t>
  </si>
  <si>
    <t>I can use basic computer skills.</t>
  </si>
  <si>
    <t>I can switch on, checking the monitor first.</t>
  </si>
  <si>
    <t>All</t>
  </si>
  <si>
    <t>I can log on and log off.</t>
  </si>
  <si>
    <t>Most</t>
  </si>
  <si>
    <t>Create folders.</t>
  </si>
  <si>
    <t>I can manipulate windows.</t>
  </si>
  <si>
    <t>I can shut down.</t>
  </si>
  <si>
    <t>Print files.</t>
  </si>
  <si>
    <t>Add images.</t>
  </si>
  <si>
    <t>I can use folder.</t>
  </si>
  <si>
    <t>I can create a folder.</t>
  </si>
  <si>
    <t>Format text and text boxes.</t>
  </si>
  <si>
    <t>I can save a file in my folder.</t>
  </si>
  <si>
    <t>Some</t>
  </si>
  <si>
    <t>Save files in an organised folder structure.</t>
  </si>
  <si>
    <t xml:space="preserve">I can organise ideas for a presentation. </t>
  </si>
  <si>
    <t>Search for files on the computer.</t>
  </si>
  <si>
    <t>I can identify the main features of a presentation.</t>
  </si>
  <si>
    <t>Set windows side by side.</t>
  </si>
  <si>
    <t>I can name some of the most popular presentation applications.</t>
  </si>
  <si>
    <t>Format text boxes and images.</t>
  </si>
  <si>
    <t>I can organise my presentation into main ideas.</t>
  </si>
  <si>
    <t>Reorder slides and present their presentation.</t>
  </si>
  <si>
    <t xml:space="preserve"> </t>
  </si>
  <si>
    <t>I can create a simple presentation with text.</t>
  </si>
  <si>
    <t>I can add a new slide.</t>
  </si>
  <si>
    <t>I can set or change the slide layout.</t>
  </si>
  <si>
    <t>I can insert a text box.</t>
  </si>
  <si>
    <t>I can type in a text box.</t>
  </si>
  <si>
    <t>I can change the background.</t>
  </si>
  <si>
    <t>I can change the outline.</t>
  </si>
  <si>
    <t>I can use an appropriate font and colour.</t>
  </si>
  <si>
    <t>I can add and format an image.</t>
  </si>
  <si>
    <t xml:space="preserve">I can insert an image from a folder. </t>
  </si>
  <si>
    <t>I can copy an image from another source.</t>
  </si>
  <si>
    <t>I can resize an image.</t>
  </si>
  <si>
    <t>I can reorder slides and present a presentation.</t>
  </si>
  <si>
    <t>I can access Slide Sorter View.</t>
  </si>
  <si>
    <t>I can drag slides to reorder.</t>
  </si>
  <si>
    <t>I can use different options to present.</t>
  </si>
  <si>
    <t>I can search and print.</t>
  </si>
  <si>
    <t>I can search for files and applications.</t>
  </si>
  <si>
    <t>I can print using different options.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</si>
</sst>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Arial"/>
    </font>
    <font/>
    <font>
      <i/>
      <sz val="11.0"/>
      <color theme="1"/>
      <name val="Arial"/>
    </font>
    <font>
      <b/>
      <sz val="14.0"/>
      <color theme="0"/>
      <name val="Arial"/>
    </font>
    <font>
      <sz val="11.0"/>
      <color rgb="FFDC205A"/>
      <name val="Arial"/>
    </font>
    <font>
      <sz val="10.0"/>
      <color rgb="FF3F3F3F"/>
      <name val="Arial"/>
    </font>
    <font>
      <sz val="11.0"/>
      <color rgb="FF3A3838"/>
      <name val="Arial"/>
    </font>
    <font>
      <b/>
      <sz val="11.0"/>
      <color theme="0"/>
      <name val="Arial"/>
    </font>
    <font>
      <sz val="11.0"/>
      <color rgb="FF3F3F3F"/>
      <name val="Arial"/>
    </font>
    <font>
      <sz val="9.0"/>
      <color theme="1"/>
      <name val="Arial"/>
    </font>
    <font>
      <sz val="9.0"/>
      <color rgb="FF3A3838"/>
      <name val="Arial"/>
    </font>
    <font>
      <sz val="10.0"/>
      <color theme="1"/>
      <name val="Arial"/>
    </font>
    <font>
      <i/>
      <sz val="10.0"/>
      <color theme="1"/>
      <name val="Arial"/>
    </font>
    <font>
      <sz val="10.0"/>
      <color rgb="FF3A3838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38AC2"/>
        <bgColor rgb="FF538AC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/>
      <right/>
      <top/>
      <bottom/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/>
      <bottom/>
    </border>
    <border>
      <right/>
      <top/>
      <bottom/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0" fillId="0" fontId="2" numFmtId="0" xfId="0" applyFont="1"/>
    <xf borderId="1" fillId="0" fontId="3" numFmtId="0" xfId="0" applyBorder="1" applyFont="1"/>
    <xf borderId="0" fillId="0" fontId="2" numFmtId="0" xfId="0" applyAlignment="1" applyFont="1">
      <alignment vertical="center"/>
    </xf>
    <xf borderId="2" fillId="2" fontId="2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3" fillId="3" fontId="4" numFmtId="0" xfId="0" applyAlignment="1" applyBorder="1" applyFill="1" applyFont="1">
      <alignment horizontal="center" vertical="center"/>
    </xf>
    <xf borderId="4" fillId="2" fontId="5" numFmtId="0" xfId="0" applyAlignment="1" applyBorder="1" applyFill="1" applyFont="1">
      <alignment horizontal="center" vertical="center"/>
    </xf>
    <xf borderId="5" fillId="0" fontId="3" numFmtId="0" xfId="0" applyBorder="1" applyFont="1"/>
    <xf borderId="0" fillId="0" fontId="6" numFmtId="0" xfId="0" applyAlignment="1" applyFont="1">
      <alignment shrinkToFit="0" vertical="center" wrapText="1"/>
    </xf>
    <xf borderId="6" fillId="0" fontId="3" numFmtId="0" xfId="0" applyBorder="1" applyFont="1"/>
    <xf borderId="0" fillId="0" fontId="2" numFmtId="0" xfId="0" applyAlignment="1" applyFont="1">
      <alignment horizontal="left" shrinkToFit="0" vertical="top" wrapText="1"/>
    </xf>
    <xf borderId="0" fillId="0" fontId="4" numFmtId="0" xfId="0" applyAlignment="1" applyFont="1">
      <alignment horizontal="right" vertical="center"/>
    </xf>
    <xf borderId="0" fillId="0" fontId="1" numFmtId="9" xfId="0" applyAlignment="1" applyFont="1" applyNumberFormat="1">
      <alignment horizontal="center" shrinkToFit="0" wrapText="1"/>
    </xf>
    <xf borderId="7" fillId="0" fontId="3" numFmtId="0" xfId="0" applyBorder="1" applyFont="1"/>
    <xf borderId="8" fillId="3" fontId="7" numFmtId="0" xfId="0" applyAlignment="1" applyBorder="1" applyFill="1" applyFont="1">
      <alignment horizontal="left" shrinkToFit="0" vertical="top" wrapText="1"/>
    </xf>
    <xf borderId="9" fillId="0" fontId="8" numFmtId="0" xfId="0" applyAlignment="1" applyBorder="1" applyFont="1">
      <alignment horizontal="center" textRotation="90"/>
    </xf>
    <xf borderId="10" fillId="3" fontId="7" numFmtId="0" xfId="0" applyAlignment="1" applyBorder="1" applyFill="1" applyFont="1">
      <alignment horizontal="left" shrinkToFit="0" vertical="top" wrapText="1"/>
    </xf>
    <xf borderId="11" fillId="0" fontId="8" numFmtId="0" xfId="0" applyAlignment="1" applyBorder="1" applyFont="1">
      <alignment horizontal="center" shrinkToFit="0" textRotation="90" wrapText="1"/>
    </xf>
    <xf borderId="7" fillId="0" fontId="2" numFmtId="0" xfId="0" applyAlignment="1" applyBorder="1" applyFont="1">
      <alignment horizontal="center" textRotation="90"/>
    </xf>
    <xf borderId="7" fillId="0" fontId="1" numFmtId="9" xfId="0" applyAlignment="1" applyBorder="1" applyFont="1" applyNumberFormat="1">
      <alignment horizontal="center" shrinkToFit="0" wrapText="1"/>
    </xf>
    <xf borderId="12" fillId="0" fontId="3" numFmtId="0" xfId="0" applyBorder="1" applyFont="1"/>
    <xf borderId="13" fillId="0" fontId="8" numFmtId="0" xfId="0" applyAlignment="1" applyBorder="1" applyFont="1">
      <alignment horizontal="center" shrinkToFit="0" textRotation="90" wrapText="1"/>
    </xf>
    <xf borderId="4" fillId="3" fontId="2" numFmtId="0" xfId="0" applyAlignment="1" applyBorder="1" applyFill="1" applyFont="1">
      <alignment horizontal="center" textRotation="90"/>
    </xf>
    <xf borderId="1" fillId="0" fontId="2" numFmtId="9" xfId="0" applyAlignment="1" applyBorder="1" applyFont="1" applyNumberFormat="1">
      <alignment horizontal="center" shrinkToFit="0" vertical="top" wrapText="1"/>
    </xf>
    <xf borderId="14" fillId="0" fontId="3" numFmtId="0" xfId="0" applyBorder="1" applyFont="1"/>
    <xf borderId="15" fillId="0" fontId="3" numFmtId="0" xfId="0" applyBorder="1" applyFont="1"/>
    <xf borderId="10" fillId="3" fontId="2" numFmtId="0" xfId="0" applyAlignment="1" applyBorder="1" applyFill="1" applyFont="1">
      <alignment horizontal="center" textRotation="90"/>
    </xf>
    <xf borderId="16" fillId="0" fontId="3" numFmtId="0" xfId="0" applyBorder="1" applyFont="1"/>
    <xf borderId="17" fillId="3" fontId="2" numFmtId="0" xfId="0" applyAlignment="1" applyBorder="1" applyFill="1" applyFont="1">
      <alignment horizontal="right" shrinkToFit="0" vertical="center" wrapText="1"/>
    </xf>
    <xf borderId="18" fillId="0" fontId="3" numFmtId="0" xfId="0" applyBorder="1" applyFont="1"/>
    <xf borderId="14" fillId="0" fontId="2" numFmtId="9" xfId="0" applyAlignment="1" applyBorder="1" applyFont="1" applyNumberFormat="1">
      <alignment horizontal="center" shrinkToFit="0" vertical="top" wrapText="1"/>
    </xf>
    <xf borderId="19" fillId="3" fontId="8" numFmtId="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horizontal="left" vertical="top"/>
    </xf>
    <xf borderId="20" fillId="3" fontId="2" numFmtId="0" xfId="0" applyAlignment="1" applyBorder="1" applyFill="1" applyFont="1">
      <alignment horizontal="right" shrinkToFit="0" vertical="center" wrapText="1"/>
    </xf>
    <xf borderId="10" fillId="2" fontId="9" numFmtId="9" xfId="0" applyAlignment="1" applyBorder="1" applyFill="1" applyFont="1" applyNumberFormat="1">
      <alignment horizontal="center" shrinkToFit="0" vertical="center" wrapText="1"/>
    </xf>
    <xf borderId="21" fillId="3" fontId="8" numFmtId="9" xfId="0" applyAlignment="1" applyBorder="1" applyFill="1" applyFont="1" applyNumberFormat="1">
      <alignment horizontal="center" shrinkToFit="0" vertical="center" wrapText="1"/>
    </xf>
    <xf borderId="12" fillId="0" fontId="10" numFmtId="0" xfId="0" applyAlignment="1" applyBorder="1" applyFont="1">
      <alignment horizontal="left" vertical="center"/>
    </xf>
    <xf borderId="22" fillId="3" fontId="8" numFmtId="9" xfId="0" applyAlignment="1" applyBorder="1" applyFill="1" applyFont="1" applyNumberFormat="1">
      <alignment horizontal="center" shrinkToFit="0" vertical="center" wrapText="1"/>
    </xf>
    <xf borderId="23" fillId="3" fontId="2" numFmtId="0" xfId="0" applyAlignment="1" applyBorder="1" applyFill="1" applyFont="1">
      <alignment horizontal="center" textRotation="90"/>
    </xf>
    <xf borderId="0" fillId="0" fontId="2" numFmtId="0" xfId="0" applyAlignment="1" applyFont="1">
      <alignment horizontal="center"/>
    </xf>
    <xf borderId="24" fillId="3" fontId="11" numFmtId="0" xfId="0" applyAlignment="1" applyBorder="1" applyFill="1" applyFont="1">
      <alignment horizontal="right" shrinkToFit="0" vertical="center" wrapText="1"/>
    </xf>
    <xf borderId="25" fillId="0" fontId="3" numFmtId="0" xfId="0" applyBorder="1" applyFont="1"/>
    <xf borderId="26" fillId="3" fontId="12" numFmtId="9" xfId="0" applyAlignment="1" applyBorder="1" applyFill="1" applyFont="1" applyNumberFormat="1">
      <alignment horizontal="center" shrinkToFit="0" vertical="center" wrapText="1"/>
    </xf>
    <xf borderId="27" fillId="3" fontId="8" numFmtId="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9" fillId="0" fontId="1" numFmtId="0" xfId="0" applyAlignment="1" applyBorder="1" applyFont="1">
      <alignment horizontal="left" shrinkToFit="0" vertical="top" wrapText="1"/>
    </xf>
    <xf borderId="28" fillId="2" fontId="13" numFmtId="0" xfId="0" applyAlignment="1" applyBorder="1" applyFill="1" applyFont="1">
      <alignment horizontal="left" shrinkToFit="0" vertical="center" wrapText="1"/>
    </xf>
    <xf borderId="29" fillId="0" fontId="2" numFmtId="0" xfId="0" applyAlignment="1" applyBorder="1" applyFont="1">
      <alignment horizontal="center" shrinkToFit="0" vertical="center" wrapText="1"/>
    </xf>
    <xf borderId="30" fillId="0" fontId="2" numFmtId="0" xfId="0" applyAlignment="1" applyBorder="1" applyFont="1">
      <alignment horizontal="center" shrinkToFit="0" vertical="center" wrapText="1"/>
    </xf>
    <xf borderId="31" fillId="0" fontId="2" numFmtId="0" xfId="0" applyAlignment="1" applyBorder="1" applyFont="1">
      <alignment horizontal="center" shrinkToFit="0" vertical="center" wrapText="1"/>
    </xf>
    <xf borderId="32" fillId="3" fontId="2" numFmtId="9" xfId="0" applyAlignment="1" applyBorder="1" applyFill="1" applyFont="1" applyNumberFormat="1">
      <alignment vertical="center"/>
    </xf>
    <xf borderId="15" fillId="0" fontId="1" numFmtId="0" xfId="0" applyAlignment="1" applyBorder="1" applyFont="1">
      <alignment horizontal="left" shrinkToFit="0" vertical="top" wrapText="1"/>
    </xf>
    <xf borderId="33" fillId="3" fontId="14" numFmtId="0" xfId="0" applyAlignment="1" applyBorder="1" applyFill="1" applyFont="1">
      <alignment horizontal="left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6" fillId="3" fontId="2" numFmtId="9" xfId="0" applyAlignment="1" applyBorder="1" applyFill="1" applyFont="1" applyNumberFormat="1">
      <alignment horizontal="right" vertical="center"/>
    </xf>
    <xf borderId="0" fillId="0" fontId="11" numFmtId="0" xfId="0" applyAlignment="1" applyFont="1">
      <alignment horizontal="center"/>
    </xf>
    <xf borderId="4" fillId="2" fontId="1" numFmtId="0" xfId="0" applyAlignment="1" applyBorder="1" applyFill="1" applyFont="1">
      <alignment horizontal="center" textRotation="90" vertical="center"/>
    </xf>
    <xf borderId="36" fillId="3" fontId="15" numFmtId="0" xfId="0" applyAlignment="1" applyBorder="1" applyFill="1" applyFont="1">
      <alignment horizontal="left" shrinkToFit="0" vertical="center" wrapText="1"/>
    </xf>
    <xf borderId="37" fillId="0" fontId="2" numFmtId="0" xfId="0" applyAlignment="1" applyBorder="1" applyFont="1">
      <alignment horizontal="center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3" fontId="2" numFmtId="9" xfId="0" applyAlignment="1" applyBorder="1" applyFill="1" applyFont="1" applyNumberFormat="1">
      <alignment vertical="center"/>
    </xf>
    <xf borderId="41" fillId="2" fontId="1" numFmtId="0" xfId="0" applyAlignment="1" applyBorder="1" applyFill="1" applyFont="1">
      <alignment horizontal="center" textRotation="90" vertical="center"/>
    </xf>
    <xf borderId="32" fillId="3" fontId="15" numFmtId="0" xfId="0" applyAlignment="1" applyBorder="1" applyFill="1" applyFont="1">
      <alignment horizontal="left" shrinkToFit="0" vertical="center" wrapText="1"/>
    </xf>
    <xf borderId="23" fillId="3" fontId="15" numFmtId="0" xfId="0" applyAlignment="1" applyBorder="1" applyFill="1" applyFont="1">
      <alignment horizontal="left" shrinkToFit="0" vertical="center" wrapText="1"/>
    </xf>
    <xf borderId="42" fillId="0" fontId="2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23" fillId="3" fontId="2" numFmtId="9" xfId="0" applyAlignment="1" applyBorder="1" applyFill="1" applyFont="1" applyNumberFormat="1">
      <alignment vertical="center"/>
    </xf>
    <xf borderId="40" fillId="3" fontId="15" numFmtId="0" xfId="0" applyAlignment="1" applyBorder="1" applyFill="1" applyFont="1">
      <alignment horizontal="left" shrinkToFit="0" vertical="center" wrapText="1"/>
    </xf>
    <xf borderId="44" fillId="2" fontId="13" numFmtId="0" xfId="0" applyAlignment="1" applyBorder="1" applyFill="1" applyFont="1">
      <alignment horizontal="left" shrinkToFit="0" vertical="center" wrapText="1"/>
    </xf>
    <xf borderId="45" fillId="0" fontId="2" numFmtId="0" xfId="0" applyAlignment="1" applyBorder="1" applyFont="1">
      <alignment horizontal="center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47" fillId="0" fontId="3" numFmtId="0" xfId="0" applyBorder="1" applyFont="1"/>
    <xf borderId="48" fillId="0" fontId="2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vertical="top"/>
    </xf>
    <xf borderId="50" fillId="0" fontId="1" numFmtId="0" xfId="0" applyAlignment="1" applyBorder="1" applyFont="1">
      <alignment horizontal="left" shrinkToFit="0" vertical="top" wrapText="1"/>
    </xf>
    <xf borderId="51" fillId="3" fontId="14" numFmtId="0" xfId="0" applyAlignment="1" applyBorder="1" applyFill="1" applyFont="1">
      <alignment horizontal="left" shrinkToFit="0" vertical="center" wrapText="1"/>
    </xf>
    <xf borderId="52" fillId="0" fontId="2" numFmtId="0" xfId="0" applyAlignment="1" applyBorder="1" applyFont="1">
      <alignment horizontal="center" shrinkToFit="0" vertical="center" wrapText="1"/>
    </xf>
    <xf borderId="53" fillId="0" fontId="2" numFmtId="0" xfId="0" applyAlignment="1" applyBorder="1" applyFont="1">
      <alignment horizontal="center" shrinkToFit="0" vertical="center" wrapText="1"/>
    </xf>
    <xf borderId="36" fillId="3" fontId="2" numFmtId="9" xfId="0" applyAlignment="1" applyBorder="1" applyFill="1" applyFont="1" applyNumberFormat="1">
      <alignment vertical="center"/>
    </xf>
    <xf borderId="0" fillId="0" fontId="16" numFmtId="0" xfId="0" applyAlignment="1" applyFont="1">
      <alignment vertical="top"/>
    </xf>
    <xf borderId="47" fillId="0" fontId="10" numFmtId="0" xfId="0" applyAlignment="1" applyBorder="1" applyFont="1">
      <alignment horizontal="left" vertical="center"/>
    </xf>
    <xf borderId="54" fillId="2" fontId="1" numFmtId="0" xfId="0" applyAlignment="1" applyBorder="1" applyFill="1" applyFont="1">
      <alignment horizontal="center" textRotation="90" vertical="center"/>
    </xf>
    <xf borderId="28" fillId="3" fontId="15" numFmtId="0" xfId="0" applyAlignment="1" applyBorder="1" applyFill="1" applyFont="1">
      <alignment horizontal="left" shrinkToFit="0" vertical="center" wrapText="1"/>
    </xf>
    <xf borderId="55" fillId="0" fontId="3" numFmtId="0" xfId="0" applyBorder="1" applyFont="1"/>
    <xf borderId="44" fillId="3" fontId="15" numFmtId="0" xfId="0" applyAlignment="1" applyBorder="1" applyFill="1" applyFont="1">
      <alignment horizontal="left" shrinkToFit="0" vertical="center" wrapText="1"/>
    </xf>
    <xf borderId="33" fillId="3" fontId="15" numFmtId="0" xfId="0" applyAlignment="1" applyBorder="1" applyFill="1" applyFont="1">
      <alignment horizontal="left" shrinkToFit="0" vertical="center" wrapText="1"/>
    </xf>
    <xf borderId="56" fillId="0" fontId="3" numFmtId="0" xfId="0" applyBorder="1" applyFont="1"/>
    <xf borderId="51" fillId="3" fontId="15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vertical="center"/>
    </xf>
    <xf borderId="57" fillId="3" fontId="14" numFmtId="0" xfId="0" applyAlignment="1" applyBorder="1" applyFill="1" applyFont="1">
      <alignment horizontal="left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59" fillId="0" fontId="2" numFmtId="0" xfId="0" applyAlignment="1" applyBorder="1" applyFont="1">
      <alignment horizontal="center" shrinkToFit="0" vertical="center" wrapText="1"/>
    </xf>
    <xf borderId="50" fillId="0" fontId="1" numFmtId="0" xfId="0" applyAlignment="1" applyBorder="1" applyFont="1">
      <alignment horizontal="center" vertical="center"/>
    </xf>
    <xf borderId="52" fillId="0" fontId="2" numFmtId="0" xfId="0" applyAlignment="1" applyBorder="1" applyFont="1">
      <alignment horizontal="center"/>
    </xf>
    <xf borderId="49" fillId="0" fontId="2" numFmtId="0" xfId="0" applyAlignment="1" applyBorder="1" applyFont="1">
      <alignment horizontal="center"/>
    </xf>
    <xf borderId="53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7" width="9.14"/>
    <col customWidth="1" min="8" max="26" width="8.71"/>
  </cols>
  <sheetData>
    <row r="1" ht="30.0" customHeight="1">
      <c r="A1" s="2" t="s">
        <v>1</v>
      </c>
      <c r="B1" s="4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3.25" customHeight="1">
      <c r="A2" s="9" t="s">
        <v>4</v>
      </c>
      <c r="B2" s="9" t="s">
        <v>6</v>
      </c>
      <c r="C2" s="9" t="s">
        <v>7</v>
      </c>
      <c r="D2" s="3"/>
      <c r="E2" s="13"/>
      <c r="F2" s="13"/>
      <c r="G2" s="1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4.25" customHeight="1">
      <c r="A3" s="17" t="s">
        <v>10</v>
      </c>
      <c r="B3" s="19" t="s">
        <v>12</v>
      </c>
      <c r="C3" s="17" t="s">
        <v>13</v>
      </c>
      <c r="D3" s="3"/>
      <c r="E3" s="13"/>
      <c r="F3" s="13"/>
      <c r="G3" s="1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3"/>
      <c r="B4" s="19"/>
      <c r="C4" s="23"/>
      <c r="D4" s="3"/>
      <c r="E4" s="13"/>
      <c r="F4" s="13"/>
      <c r="G4" s="1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3"/>
      <c r="B5" s="19"/>
      <c r="C5" s="23"/>
      <c r="D5" s="3"/>
      <c r="E5" s="13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0"/>
      <c r="B6" s="19"/>
      <c r="C6" s="30"/>
      <c r="D6" s="3"/>
      <c r="E6" s="13"/>
      <c r="F6" s="13"/>
      <c r="G6" s="1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37">
        <f t="shared" ref="A7:C7" si="1">(COUNTIF(A8:A38, "*"))/(COUNTIF($A$8:$C$38, "*"))</f>
        <v>0.3333333333</v>
      </c>
      <c r="B7" s="37">
        <f t="shared" si="1"/>
        <v>0.3333333333</v>
      </c>
      <c r="C7" s="37">
        <f t="shared" si="1"/>
        <v>0.3333333333</v>
      </c>
      <c r="D7" s="3"/>
      <c r="E7" s="13"/>
      <c r="F7" s="13"/>
      <c r="G7" s="1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8.0" customHeight="1">
      <c r="A8" s="39" t="s">
        <v>11</v>
      </c>
      <c r="B8" s="39" t="s">
        <v>11</v>
      </c>
      <c r="C8" s="39" t="s">
        <v>11</v>
      </c>
      <c r="D8" s="3"/>
      <c r="E8" s="13"/>
      <c r="F8" s="13"/>
      <c r="G8" s="1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8.0" customHeight="1">
      <c r="A9" s="39" t="s">
        <v>11</v>
      </c>
      <c r="B9" s="39" t="s">
        <v>11</v>
      </c>
      <c r="C9" s="39" t="s">
        <v>11</v>
      </c>
      <c r="D9" s="3"/>
      <c r="E9" s="13"/>
      <c r="F9" s="13"/>
      <c r="G9" s="1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8.0" customHeight="1">
      <c r="A10" s="39" t="s">
        <v>11</v>
      </c>
      <c r="B10" s="39" t="s">
        <v>11</v>
      </c>
      <c r="C10" s="39" t="s">
        <v>11</v>
      </c>
      <c r="D10" s="3"/>
      <c r="E10" s="13"/>
      <c r="F10" s="13"/>
      <c r="G10" s="1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8.0" customHeight="1">
      <c r="A11" s="39" t="s">
        <v>11</v>
      </c>
      <c r="B11" s="39" t="s">
        <v>11</v>
      </c>
      <c r="C11" s="39" t="s">
        <v>11</v>
      </c>
      <c r="D11" s="3"/>
      <c r="E11" s="13"/>
      <c r="F11" s="13"/>
      <c r="G11" s="1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8.0" customHeight="1">
      <c r="A12" s="39"/>
      <c r="B12" s="39"/>
      <c r="C12" s="39"/>
      <c r="D12" s="3"/>
      <c r="E12" s="13"/>
      <c r="F12" s="13"/>
      <c r="G12" s="1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8.0" customHeight="1">
      <c r="A13" s="39"/>
      <c r="B13" s="39"/>
      <c r="C13" s="39"/>
      <c r="D13" s="3"/>
      <c r="E13" s="13"/>
      <c r="F13" s="13"/>
      <c r="G13" s="1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8.0" customHeight="1">
      <c r="A14" s="39"/>
      <c r="B14" s="39"/>
      <c r="C14" s="39"/>
      <c r="D14" s="3"/>
      <c r="E14" s="13"/>
      <c r="F14" s="13"/>
      <c r="G14" s="1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8.0" customHeight="1">
      <c r="A15" s="39"/>
      <c r="B15" s="39"/>
      <c r="C15" s="39"/>
      <c r="D15" s="3"/>
      <c r="E15" s="13"/>
      <c r="F15" s="13"/>
      <c r="G15" s="1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8.0" customHeight="1">
      <c r="A16" s="39"/>
      <c r="B16" s="39"/>
      <c r="C16" s="39"/>
      <c r="D16" s="3"/>
      <c r="E16" s="13"/>
      <c r="F16" s="13"/>
      <c r="G16" s="1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0" customHeight="1">
      <c r="A17" s="39"/>
      <c r="B17" s="39"/>
      <c r="C17" s="39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8.0" customHeight="1">
      <c r="A18" s="39"/>
      <c r="B18" s="39"/>
      <c r="C18" s="39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8.0" customHeight="1">
      <c r="A19" s="39"/>
      <c r="B19" s="39"/>
      <c r="C19" s="3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8.0" customHeight="1">
      <c r="A20" s="39"/>
      <c r="B20" s="39"/>
      <c r="C20" s="39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8.0" customHeight="1">
      <c r="A21" s="39"/>
      <c r="B21" s="39"/>
      <c r="C21" s="39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8.0" customHeight="1">
      <c r="A22" s="39"/>
      <c r="B22" s="39"/>
      <c r="C22" s="39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0" customHeight="1">
      <c r="A23" s="39"/>
      <c r="B23" s="39"/>
      <c r="C23" s="39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8.0" customHeight="1">
      <c r="A24" s="39"/>
      <c r="B24" s="39"/>
      <c r="C24" s="39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8.0" customHeight="1">
      <c r="A25" s="39"/>
      <c r="B25" s="39"/>
      <c r="C25" s="39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8.0" customHeight="1">
      <c r="A26" s="39"/>
      <c r="B26" s="39"/>
      <c r="C26" s="3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8.0" customHeight="1">
      <c r="A27" s="39"/>
      <c r="B27" s="39"/>
      <c r="C27" s="39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8.0" customHeight="1">
      <c r="A28" s="39"/>
      <c r="B28" s="39"/>
      <c r="C28" s="39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8.0" customHeight="1">
      <c r="A29" s="39"/>
      <c r="B29" s="39"/>
      <c r="C29" s="39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8.0" customHeight="1">
      <c r="A30" s="39"/>
      <c r="B30" s="39"/>
      <c r="C30" s="39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8.0" customHeight="1">
      <c r="A31" s="39"/>
      <c r="B31" s="39"/>
      <c r="C31" s="39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8.0" customHeight="1">
      <c r="A32" s="39"/>
      <c r="B32" s="39"/>
      <c r="C32" s="39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8.0" customHeight="1">
      <c r="A33" s="39"/>
      <c r="B33" s="39"/>
      <c r="C33" s="39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8.0" customHeight="1">
      <c r="A34" s="39"/>
      <c r="B34" s="39"/>
      <c r="C34" s="39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8.0" customHeight="1">
      <c r="A35" s="39"/>
      <c r="B35" s="39"/>
      <c r="C35" s="39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8.0" customHeight="1">
      <c r="A36" s="39"/>
      <c r="B36" s="39"/>
      <c r="C36" s="39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8.0" customHeight="1">
      <c r="A37" s="39"/>
      <c r="B37" s="39"/>
      <c r="C37" s="39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8.0" customHeight="1">
      <c r="A38" s="87"/>
      <c r="B38" s="87"/>
      <c r="C38" s="87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">
    <mergeCell ref="A1:C1"/>
    <mergeCell ref="A3:A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7" t="str">
        <f>'Assessment 1'!A1</f>
        <v>End of Unit Assessment | Computing | Year 2 | Presentation Skills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14" t="s">
        <v>9</v>
      </c>
      <c r="AK1" s="3"/>
      <c r="AL1" s="3"/>
    </row>
    <row r="2" ht="114.0" customHeight="1">
      <c r="A2" s="15"/>
      <c r="B2" s="16"/>
      <c r="C2" s="18" t="s">
        <v>11</v>
      </c>
      <c r="D2" s="20" t="s">
        <v>11</v>
      </c>
      <c r="E2" s="20" t="s">
        <v>11</v>
      </c>
      <c r="F2" s="20" t="s">
        <v>11</v>
      </c>
      <c r="G2" s="20" t="s">
        <v>11</v>
      </c>
      <c r="H2" s="20" t="s">
        <v>11</v>
      </c>
      <c r="I2" s="20" t="s">
        <v>11</v>
      </c>
      <c r="J2" s="20" t="s">
        <v>11</v>
      </c>
      <c r="K2" s="20" t="s">
        <v>11</v>
      </c>
      <c r="L2" s="20" t="s">
        <v>11</v>
      </c>
      <c r="M2" s="20" t="s">
        <v>11</v>
      </c>
      <c r="N2" s="20" t="s">
        <v>11</v>
      </c>
      <c r="O2" s="20" t="s">
        <v>11</v>
      </c>
      <c r="P2" s="20" t="s">
        <v>11</v>
      </c>
      <c r="Q2" s="20" t="s">
        <v>11</v>
      </c>
      <c r="R2" s="20" t="s">
        <v>11</v>
      </c>
      <c r="S2" s="20" t="s">
        <v>11</v>
      </c>
      <c r="T2" s="20" t="s">
        <v>11</v>
      </c>
      <c r="U2" s="20" t="s">
        <v>11</v>
      </c>
      <c r="V2" s="20" t="s">
        <v>11</v>
      </c>
      <c r="W2" s="20" t="s">
        <v>11</v>
      </c>
      <c r="X2" s="20" t="s">
        <v>11</v>
      </c>
      <c r="Y2" s="20" t="s">
        <v>11</v>
      </c>
      <c r="Z2" s="20" t="s">
        <v>11</v>
      </c>
      <c r="AA2" s="20" t="s">
        <v>11</v>
      </c>
      <c r="AB2" s="20" t="s">
        <v>11</v>
      </c>
      <c r="AC2" s="20" t="s">
        <v>11</v>
      </c>
      <c r="AD2" s="20" t="s">
        <v>11</v>
      </c>
      <c r="AE2" s="20" t="s">
        <v>11</v>
      </c>
      <c r="AF2" s="20" t="s">
        <v>11</v>
      </c>
      <c r="AG2" s="20" t="s">
        <v>11</v>
      </c>
      <c r="AH2" s="20" t="s">
        <v>11</v>
      </c>
      <c r="AI2" s="20" t="s">
        <v>11</v>
      </c>
      <c r="AJ2" s="24" t="s">
        <v>11</v>
      </c>
      <c r="AK2" s="25"/>
      <c r="AL2" s="3"/>
    </row>
    <row r="3" ht="56.25" customHeight="1">
      <c r="A3" s="26"/>
      <c r="B3" s="27"/>
      <c r="C3" s="28"/>
      <c r="AJ3" s="16"/>
      <c r="AK3" s="29" t="s">
        <v>14</v>
      </c>
      <c r="AL3" s="3"/>
    </row>
    <row r="4" ht="21.0" customHeight="1">
      <c r="A4" s="31" t="s">
        <v>15</v>
      </c>
      <c r="B4" s="32"/>
      <c r="C4" s="34">
        <f t="shared" ref="C4:AJ4" si="1">COUNTIF(C6:C25,"*")/COUNTIF($B$6:$B$25,"*")</f>
        <v>0</v>
      </c>
      <c r="D4" s="34">
        <f t="shared" si="1"/>
        <v>0</v>
      </c>
      <c r="E4" s="34">
        <f t="shared" si="1"/>
        <v>0</v>
      </c>
      <c r="F4" s="34">
        <f t="shared" si="1"/>
        <v>0</v>
      </c>
      <c r="G4" s="34">
        <f t="shared" si="1"/>
        <v>0</v>
      </c>
      <c r="H4" s="34">
        <f t="shared" si="1"/>
        <v>0</v>
      </c>
      <c r="I4" s="34">
        <f t="shared" si="1"/>
        <v>0</v>
      </c>
      <c r="J4" s="34">
        <f t="shared" si="1"/>
        <v>0</v>
      </c>
      <c r="K4" s="34">
        <f t="shared" si="1"/>
        <v>0</v>
      </c>
      <c r="L4" s="34">
        <f t="shared" si="1"/>
        <v>0</v>
      </c>
      <c r="M4" s="34">
        <f t="shared" si="1"/>
        <v>0</v>
      </c>
      <c r="N4" s="34">
        <f t="shared" si="1"/>
        <v>0</v>
      </c>
      <c r="O4" s="34">
        <f t="shared" si="1"/>
        <v>0</v>
      </c>
      <c r="P4" s="34">
        <f t="shared" si="1"/>
        <v>0</v>
      </c>
      <c r="Q4" s="34">
        <f t="shared" si="1"/>
        <v>0</v>
      </c>
      <c r="R4" s="34">
        <f t="shared" si="1"/>
        <v>0</v>
      </c>
      <c r="S4" s="34">
        <f t="shared" si="1"/>
        <v>0</v>
      </c>
      <c r="T4" s="34">
        <f t="shared" si="1"/>
        <v>0</v>
      </c>
      <c r="U4" s="34">
        <f t="shared" si="1"/>
        <v>0</v>
      </c>
      <c r="V4" s="34">
        <f t="shared" si="1"/>
        <v>0</v>
      </c>
      <c r="W4" s="34">
        <f t="shared" si="1"/>
        <v>0</v>
      </c>
      <c r="X4" s="34">
        <f t="shared" si="1"/>
        <v>0</v>
      </c>
      <c r="Y4" s="34">
        <f t="shared" si="1"/>
        <v>0</v>
      </c>
      <c r="Z4" s="34">
        <f t="shared" si="1"/>
        <v>0</v>
      </c>
      <c r="AA4" s="34">
        <f t="shared" si="1"/>
        <v>0</v>
      </c>
      <c r="AB4" s="34">
        <f t="shared" si="1"/>
        <v>0</v>
      </c>
      <c r="AC4" s="34">
        <f t="shared" si="1"/>
        <v>0</v>
      </c>
      <c r="AD4" s="34">
        <f t="shared" si="1"/>
        <v>0</v>
      </c>
      <c r="AE4" s="34">
        <f t="shared" si="1"/>
        <v>0</v>
      </c>
      <c r="AF4" s="34">
        <f t="shared" si="1"/>
        <v>0</v>
      </c>
      <c r="AG4" s="34">
        <f t="shared" si="1"/>
        <v>0</v>
      </c>
      <c r="AH4" s="34">
        <f t="shared" si="1"/>
        <v>0</v>
      </c>
      <c r="AI4" s="34">
        <f t="shared" si="1"/>
        <v>0</v>
      </c>
      <c r="AJ4" s="40">
        <f t="shared" si="1"/>
        <v>0</v>
      </c>
      <c r="AK4" s="41"/>
      <c r="AL4" s="42"/>
    </row>
    <row r="5" ht="30.75" customHeight="1">
      <c r="A5" s="43" t="s">
        <v>16</v>
      </c>
      <c r="B5" s="44"/>
      <c r="C5" s="45" t="str">
        <f>IF(COUNTIF(C6:C10, "*")=5, "y", "n")</f>
        <v>n</v>
      </c>
      <c r="D5" s="45" t="str">
        <f t="shared" ref="D5:AI5" si="2">IF(COUNTIF(D6:D10, "*")=6, "y", "n")</f>
        <v>n</v>
      </c>
      <c r="E5" s="45" t="str">
        <f t="shared" si="2"/>
        <v>n</v>
      </c>
      <c r="F5" s="45" t="str">
        <f t="shared" si="2"/>
        <v>n</v>
      </c>
      <c r="G5" s="45" t="str">
        <f t="shared" si="2"/>
        <v>n</v>
      </c>
      <c r="H5" s="45" t="str">
        <f t="shared" si="2"/>
        <v>n</v>
      </c>
      <c r="I5" s="45" t="str">
        <f t="shared" si="2"/>
        <v>n</v>
      </c>
      <c r="J5" s="45" t="str">
        <f t="shared" si="2"/>
        <v>n</v>
      </c>
      <c r="K5" s="45" t="str">
        <f t="shared" si="2"/>
        <v>n</v>
      </c>
      <c r="L5" s="45" t="str">
        <f t="shared" si="2"/>
        <v>n</v>
      </c>
      <c r="M5" s="45" t="str">
        <f t="shared" si="2"/>
        <v>n</v>
      </c>
      <c r="N5" s="45" t="str">
        <f t="shared" si="2"/>
        <v>n</v>
      </c>
      <c r="O5" s="45" t="str">
        <f t="shared" si="2"/>
        <v>n</v>
      </c>
      <c r="P5" s="45" t="str">
        <f t="shared" si="2"/>
        <v>n</v>
      </c>
      <c r="Q5" s="45" t="str">
        <f t="shared" si="2"/>
        <v>n</v>
      </c>
      <c r="R5" s="45" t="str">
        <f t="shared" si="2"/>
        <v>n</v>
      </c>
      <c r="S5" s="45" t="str">
        <f t="shared" si="2"/>
        <v>n</v>
      </c>
      <c r="T5" s="45" t="str">
        <f t="shared" si="2"/>
        <v>n</v>
      </c>
      <c r="U5" s="45" t="str">
        <f t="shared" si="2"/>
        <v>n</v>
      </c>
      <c r="V5" s="45" t="str">
        <f t="shared" si="2"/>
        <v>n</v>
      </c>
      <c r="W5" s="45" t="str">
        <f t="shared" si="2"/>
        <v>n</v>
      </c>
      <c r="X5" s="45" t="str">
        <f t="shared" si="2"/>
        <v>n</v>
      </c>
      <c r="Y5" s="45" t="str">
        <f t="shared" si="2"/>
        <v>n</v>
      </c>
      <c r="Z5" s="45" t="str">
        <f t="shared" si="2"/>
        <v>n</v>
      </c>
      <c r="AA5" s="45" t="str">
        <f t="shared" si="2"/>
        <v>n</v>
      </c>
      <c r="AB5" s="45" t="str">
        <f t="shared" si="2"/>
        <v>n</v>
      </c>
      <c r="AC5" s="45" t="str">
        <f t="shared" si="2"/>
        <v>n</v>
      </c>
      <c r="AD5" s="45" t="str">
        <f t="shared" si="2"/>
        <v>n</v>
      </c>
      <c r="AE5" s="45" t="str">
        <f t="shared" si="2"/>
        <v>n</v>
      </c>
      <c r="AF5" s="45" t="str">
        <f t="shared" si="2"/>
        <v>n</v>
      </c>
      <c r="AG5" s="45" t="str">
        <f t="shared" si="2"/>
        <v>n</v>
      </c>
      <c r="AH5" s="45" t="str">
        <f t="shared" si="2"/>
        <v>n</v>
      </c>
      <c r="AI5" s="45" t="str">
        <f t="shared" si="2"/>
        <v>n</v>
      </c>
      <c r="AJ5" s="45" t="str">
        <f>IF(COUNTIF(AI6:AI10, "*")=6, "y", "n")</f>
        <v>n</v>
      </c>
      <c r="AK5" s="58">
        <f>COUNTIF(C5:AJ5, "y")/COUNTIF(C2:AJ2,"*")</f>
        <v>0</v>
      </c>
      <c r="AL5" s="59"/>
    </row>
    <row r="6" ht="54.75" customHeight="1">
      <c r="A6" s="60" t="s">
        <v>19</v>
      </c>
      <c r="B6" s="61" t="s">
        <v>10</v>
      </c>
      <c r="C6" s="62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2"/>
      <c r="AK6" s="53">
        <f t="shared" ref="AK6:AK7" si="3">COUNTIF(C6:AJ6,"*")/COUNTIF($C$2:$AJ$3,"*")</f>
        <v>0</v>
      </c>
      <c r="AL6" s="3"/>
    </row>
    <row r="7" ht="54.75" customHeight="1">
      <c r="A7" s="66" t="s">
        <v>21</v>
      </c>
      <c r="B7" s="67" t="s">
        <v>22</v>
      </c>
      <c r="C7" s="62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2"/>
      <c r="AK7" s="53">
        <f t="shared" si="3"/>
        <v>0</v>
      </c>
      <c r="AL7" s="3"/>
    </row>
    <row r="8" ht="54.75" customHeight="1">
      <c r="A8" s="23"/>
      <c r="B8" s="68" t="s">
        <v>25</v>
      </c>
      <c r="C8" s="69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70"/>
      <c r="AK8" s="71"/>
      <c r="AL8" s="3"/>
    </row>
    <row r="9" ht="54.75" customHeight="1">
      <c r="A9" s="23"/>
      <c r="B9" s="72" t="s">
        <v>26</v>
      </c>
      <c r="C9" s="74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4"/>
      <c r="AK9" s="65">
        <f t="shared" ref="AK9:AK11" si="4">COUNTIF(C9:AJ9,"*")/COUNTIF($C$2:$AJ$3,"*")</f>
        <v>0</v>
      </c>
      <c r="AL9" s="76"/>
    </row>
    <row r="10" ht="54.75" customHeight="1">
      <c r="A10" s="77"/>
      <c r="B10" s="61" t="s">
        <v>29</v>
      </c>
      <c r="C10" s="78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84"/>
      <c r="AK10" s="85">
        <f t="shared" si="4"/>
        <v>0</v>
      </c>
      <c r="AL10" s="86"/>
    </row>
    <row r="11" ht="54.75" customHeight="1">
      <c r="A11" s="88" t="s">
        <v>31</v>
      </c>
      <c r="B11" s="89" t="s">
        <v>32</v>
      </c>
      <c r="C11" s="50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2"/>
      <c r="AK11" s="53">
        <f t="shared" si="4"/>
        <v>0</v>
      </c>
      <c r="AL11" s="86"/>
    </row>
    <row r="12" ht="54.75" customHeight="1">
      <c r="A12" s="90"/>
      <c r="B12" s="91" t="s">
        <v>34</v>
      </c>
      <c r="C12" s="56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70"/>
      <c r="AK12" s="71"/>
      <c r="AL12" s="86"/>
    </row>
    <row r="13" ht="54.75" customHeight="1">
      <c r="A13" s="90"/>
      <c r="B13" s="91" t="s">
        <v>36</v>
      </c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70"/>
      <c r="AK13" s="71"/>
      <c r="AL13" s="86"/>
    </row>
    <row r="14" ht="54.75" customHeight="1">
      <c r="A14" s="90"/>
      <c r="B14" s="92" t="s">
        <v>38</v>
      </c>
      <c r="C14" s="75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5">
        <f t="shared" ref="AK14:AK15" si="5">COUNTIF(C14:AJ14,"*")/COUNTIF($C$2:$AJ$3,"*")</f>
        <v>0</v>
      </c>
      <c r="AL14" s="86"/>
    </row>
    <row r="15" ht="54.75" customHeight="1">
      <c r="A15" s="93"/>
      <c r="B15" s="94" t="s">
        <v>40</v>
      </c>
      <c r="C15" s="83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84"/>
      <c r="AK15" s="85">
        <f t="shared" si="5"/>
        <v>0</v>
      </c>
      <c r="AL15" s="86"/>
    </row>
    <row r="16" ht="14.2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86"/>
    </row>
    <row r="17" ht="14.2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86"/>
    </row>
    <row r="18" ht="14.2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86"/>
    </row>
    <row r="19" ht="14.2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ht="14.2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ht="14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</row>
    <row r="22" ht="14.2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</row>
    <row r="23" ht="14.2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ht="14.2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ht="14.2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ht="14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ht="14.2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ht="14.2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ht="14.2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</row>
    <row r="30" ht="14.2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ht="14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ht="14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</row>
    <row r="33" ht="14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</row>
    <row r="34" ht="14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ht="14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ht="14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41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7:A10"/>
    <mergeCell ref="A11:A15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1" t="str">
        <f>'Assessment 1'!A1</f>
        <v>End of Unit Assessment | Computing | Year 2 | Presentation Skills</v>
      </c>
      <c r="AK1" s="3"/>
      <c r="AL1" s="3"/>
    </row>
    <row r="2" ht="21.0" customHeight="1">
      <c r="A2" s="5"/>
      <c r="B2" s="6" t="s">
        <v>2</v>
      </c>
      <c r="C2" s="8" t="s">
        <v>3</v>
      </c>
      <c r="D2" s="10"/>
      <c r="E2" s="10"/>
      <c r="F2" s="10"/>
      <c r="G2" s="1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14" t="s">
        <v>9</v>
      </c>
      <c r="AK2" s="3"/>
      <c r="AL2" s="3"/>
    </row>
    <row r="3" ht="114.0" customHeight="1">
      <c r="A3" s="21"/>
      <c r="B3" s="22"/>
      <c r="C3" s="18" t="s">
        <v>11</v>
      </c>
      <c r="D3" s="20" t="s">
        <v>11</v>
      </c>
      <c r="E3" s="20" t="s">
        <v>11</v>
      </c>
      <c r="F3" s="20" t="s">
        <v>11</v>
      </c>
      <c r="G3" s="20" t="s">
        <v>11</v>
      </c>
      <c r="H3" s="20" t="s">
        <v>11</v>
      </c>
      <c r="I3" s="20" t="s">
        <v>11</v>
      </c>
      <c r="J3" s="20" t="s">
        <v>11</v>
      </c>
      <c r="K3" s="20" t="s">
        <v>11</v>
      </c>
      <c r="L3" s="20" t="s">
        <v>11</v>
      </c>
      <c r="M3" s="20" t="s">
        <v>11</v>
      </c>
      <c r="N3" s="20" t="s">
        <v>11</v>
      </c>
      <c r="O3" s="20" t="s">
        <v>11</v>
      </c>
      <c r="P3" s="20" t="s">
        <v>11</v>
      </c>
      <c r="Q3" s="20" t="s">
        <v>11</v>
      </c>
      <c r="R3" s="20" t="s">
        <v>11</v>
      </c>
      <c r="S3" s="20" t="s">
        <v>11</v>
      </c>
      <c r="T3" s="20" t="s">
        <v>11</v>
      </c>
      <c r="U3" s="20" t="s">
        <v>11</v>
      </c>
      <c r="V3" s="20" t="s">
        <v>11</v>
      </c>
      <c r="W3" s="20" t="s">
        <v>11</v>
      </c>
      <c r="X3" s="20" t="s">
        <v>11</v>
      </c>
      <c r="Y3" s="20" t="s">
        <v>11</v>
      </c>
      <c r="Z3" s="20" t="s">
        <v>11</v>
      </c>
      <c r="AA3" s="20" t="s">
        <v>11</v>
      </c>
      <c r="AB3" s="20" t="s">
        <v>11</v>
      </c>
      <c r="AC3" s="20" t="s">
        <v>11</v>
      </c>
      <c r="AD3" s="20" t="s">
        <v>11</v>
      </c>
      <c r="AE3" s="20" t="s">
        <v>11</v>
      </c>
      <c r="AF3" s="20" t="s">
        <v>11</v>
      </c>
      <c r="AG3" s="20" t="s">
        <v>11</v>
      </c>
      <c r="AH3" s="20" t="s">
        <v>11</v>
      </c>
      <c r="AI3" s="20" t="s">
        <v>11</v>
      </c>
      <c r="AJ3" s="24" t="s">
        <v>11</v>
      </c>
      <c r="AK3" s="3"/>
      <c r="AL3" s="3"/>
    </row>
    <row r="4" ht="56.25" customHeight="1">
      <c r="A4" s="16"/>
      <c r="B4" s="33"/>
      <c r="C4" s="28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27"/>
      <c r="AK4" s="3"/>
      <c r="AL4" s="35"/>
    </row>
    <row r="5" ht="21.0" customHeight="1">
      <c r="A5" s="16"/>
      <c r="B5" s="36" t="s">
        <v>15</v>
      </c>
      <c r="C5" s="38">
        <f t="shared" ref="C5:AJ5" si="1">COUNTIF(C6:C37,"*")/COUNTIF($B$6:$B$37,"*")</f>
        <v>0</v>
      </c>
      <c r="D5" s="38">
        <f t="shared" si="1"/>
        <v>0</v>
      </c>
      <c r="E5" s="38">
        <f t="shared" si="1"/>
        <v>0</v>
      </c>
      <c r="F5" s="38">
        <f t="shared" si="1"/>
        <v>0</v>
      </c>
      <c r="G5" s="38">
        <f t="shared" si="1"/>
        <v>0</v>
      </c>
      <c r="H5" s="38">
        <f t="shared" si="1"/>
        <v>0</v>
      </c>
      <c r="I5" s="38">
        <f t="shared" si="1"/>
        <v>0</v>
      </c>
      <c r="J5" s="38">
        <f t="shared" si="1"/>
        <v>0</v>
      </c>
      <c r="K5" s="38">
        <f t="shared" si="1"/>
        <v>0</v>
      </c>
      <c r="L5" s="38">
        <f t="shared" si="1"/>
        <v>0</v>
      </c>
      <c r="M5" s="38">
        <f t="shared" si="1"/>
        <v>0</v>
      </c>
      <c r="N5" s="38">
        <f t="shared" si="1"/>
        <v>0</v>
      </c>
      <c r="O5" s="38">
        <f t="shared" si="1"/>
        <v>0</v>
      </c>
      <c r="P5" s="38">
        <f t="shared" si="1"/>
        <v>0</v>
      </c>
      <c r="Q5" s="38">
        <f t="shared" si="1"/>
        <v>0</v>
      </c>
      <c r="R5" s="38">
        <f t="shared" si="1"/>
        <v>0</v>
      </c>
      <c r="S5" s="38">
        <f t="shared" si="1"/>
        <v>0</v>
      </c>
      <c r="T5" s="38">
        <f t="shared" si="1"/>
        <v>0</v>
      </c>
      <c r="U5" s="38">
        <f t="shared" si="1"/>
        <v>0</v>
      </c>
      <c r="V5" s="38">
        <f t="shared" si="1"/>
        <v>0</v>
      </c>
      <c r="W5" s="38">
        <f t="shared" si="1"/>
        <v>0</v>
      </c>
      <c r="X5" s="38">
        <f t="shared" si="1"/>
        <v>0</v>
      </c>
      <c r="Y5" s="38">
        <f t="shared" si="1"/>
        <v>0</v>
      </c>
      <c r="Z5" s="38">
        <f t="shared" si="1"/>
        <v>0</v>
      </c>
      <c r="AA5" s="38">
        <f t="shared" si="1"/>
        <v>0</v>
      </c>
      <c r="AB5" s="38">
        <f t="shared" si="1"/>
        <v>0</v>
      </c>
      <c r="AC5" s="38">
        <f t="shared" si="1"/>
        <v>0</v>
      </c>
      <c r="AD5" s="38">
        <f t="shared" si="1"/>
        <v>0</v>
      </c>
      <c r="AE5" s="38">
        <f t="shared" si="1"/>
        <v>0</v>
      </c>
      <c r="AF5" s="38">
        <f t="shared" si="1"/>
        <v>0</v>
      </c>
      <c r="AG5" s="38">
        <f t="shared" si="1"/>
        <v>0</v>
      </c>
      <c r="AH5" s="38">
        <f t="shared" si="1"/>
        <v>0</v>
      </c>
      <c r="AI5" s="38">
        <f t="shared" si="1"/>
        <v>0</v>
      </c>
      <c r="AJ5" s="46">
        <f t="shared" si="1"/>
        <v>0</v>
      </c>
      <c r="AK5" s="3"/>
      <c r="AL5" s="47"/>
    </row>
    <row r="6" ht="66.0" customHeight="1">
      <c r="A6" s="48">
        <v>1.0</v>
      </c>
      <c r="B6" s="49" t="s">
        <v>17</v>
      </c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2"/>
      <c r="AK6" s="53">
        <f t="shared" ref="AK6:AK7" si="2">COUNTIF(C6:AJ6,"*")/COUNTIF($C$3:$AJ$4,"*")</f>
        <v>0</v>
      </c>
      <c r="AL6" s="3"/>
    </row>
    <row r="7" ht="45.0" customHeight="1">
      <c r="A7" s="54"/>
      <c r="B7" s="55" t="s">
        <v>18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63"/>
      <c r="AJ7" s="64"/>
      <c r="AK7" s="65">
        <f t="shared" si="2"/>
        <v>0</v>
      </c>
      <c r="AL7" s="3"/>
    </row>
    <row r="8" ht="45.0" customHeight="1">
      <c r="A8" s="54"/>
      <c r="B8" s="55" t="s">
        <v>20</v>
      </c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63"/>
      <c r="AJ8" s="64"/>
      <c r="AK8" s="65"/>
      <c r="AL8" s="3"/>
    </row>
    <row r="9" ht="45.0" customHeight="1">
      <c r="A9" s="54"/>
      <c r="B9" s="55" t="s">
        <v>23</v>
      </c>
      <c r="C9" s="56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63"/>
      <c r="AJ9" s="64"/>
      <c r="AK9" s="65"/>
      <c r="AL9" s="3"/>
    </row>
    <row r="10" ht="45.0" customHeight="1">
      <c r="A10" s="54"/>
      <c r="B10" s="55" t="s">
        <v>24</v>
      </c>
      <c r="C10" s="56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63"/>
      <c r="AJ10" s="64"/>
      <c r="AK10" s="65">
        <f t="shared" ref="AK10:AK19" si="3">COUNTIF(C10:AJ10,"*")/COUNTIF($C$3:$AJ$4,"*")</f>
        <v>0</v>
      </c>
      <c r="AL10" s="3"/>
    </row>
    <row r="11" ht="66.0" customHeight="1">
      <c r="A11" s="54"/>
      <c r="B11" s="73" t="s">
        <v>27</v>
      </c>
      <c r="C11" s="56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63"/>
      <c r="AJ11" s="64"/>
      <c r="AK11" s="65">
        <f t="shared" si="3"/>
        <v>0</v>
      </c>
      <c r="AL11" s="3"/>
    </row>
    <row r="12" ht="45.0" customHeight="1">
      <c r="A12" s="54"/>
      <c r="B12" s="55" t="s">
        <v>28</v>
      </c>
      <c r="C12" s="75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4"/>
      <c r="AK12" s="65">
        <f t="shared" si="3"/>
        <v>0</v>
      </c>
      <c r="AL12" s="80"/>
    </row>
    <row r="13" ht="45.0" customHeight="1">
      <c r="A13" s="81"/>
      <c r="B13" s="82" t="s">
        <v>30</v>
      </c>
      <c r="C13" s="83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84"/>
      <c r="AK13" s="85">
        <f t="shared" si="3"/>
        <v>0</v>
      </c>
      <c r="AL13" s="80"/>
    </row>
    <row r="14" ht="66.0" customHeight="1">
      <c r="A14" s="48">
        <v>2.0</v>
      </c>
      <c r="B14" s="49" t="s">
        <v>33</v>
      </c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2"/>
      <c r="AK14" s="53">
        <f t="shared" si="3"/>
        <v>0</v>
      </c>
      <c r="AL14" s="80"/>
    </row>
    <row r="15" ht="45.0" customHeight="1">
      <c r="A15" s="54"/>
      <c r="B15" s="55" t="s">
        <v>35</v>
      </c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63"/>
      <c r="AJ15" s="64"/>
      <c r="AK15" s="65">
        <f t="shared" si="3"/>
        <v>0</v>
      </c>
      <c r="AL15" s="80"/>
    </row>
    <row r="16" ht="45.0" customHeight="1">
      <c r="A16" s="54"/>
      <c r="B16" s="55" t="s">
        <v>37</v>
      </c>
      <c r="C16" s="75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4"/>
      <c r="AK16" s="65">
        <f t="shared" si="3"/>
        <v>0</v>
      </c>
      <c r="AL16" s="80"/>
    </row>
    <row r="17" ht="45.0" customHeight="1">
      <c r="A17" s="81"/>
      <c r="B17" s="82" t="s">
        <v>39</v>
      </c>
      <c r="C17" s="83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84"/>
      <c r="AK17" s="85">
        <f t="shared" si="3"/>
        <v>0</v>
      </c>
      <c r="AL17" s="95" t="s">
        <v>41</v>
      </c>
    </row>
    <row r="18" ht="66.0" customHeight="1">
      <c r="A18" s="48">
        <v>3.0</v>
      </c>
      <c r="B18" s="49" t="s">
        <v>42</v>
      </c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2"/>
      <c r="AK18" s="53">
        <f t="shared" si="3"/>
        <v>0</v>
      </c>
      <c r="AL18" s="3"/>
    </row>
    <row r="19" ht="45.0" customHeight="1">
      <c r="A19" s="54"/>
      <c r="B19" s="55" t="s">
        <v>43</v>
      </c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63"/>
      <c r="AJ19" s="64"/>
      <c r="AK19" s="65">
        <f t="shared" si="3"/>
        <v>0</v>
      </c>
      <c r="AL19" s="3"/>
    </row>
    <row r="20" ht="45.0" customHeight="1">
      <c r="A20" s="54"/>
      <c r="B20" s="55" t="s">
        <v>44</v>
      </c>
      <c r="C20" s="56"/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63"/>
      <c r="AJ20" s="64"/>
      <c r="AK20" s="65"/>
      <c r="AL20" s="3"/>
    </row>
    <row r="21" ht="45.0" customHeight="1">
      <c r="A21" s="54"/>
      <c r="B21" s="55" t="s">
        <v>45</v>
      </c>
      <c r="C21" s="56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63"/>
      <c r="AJ21" s="64"/>
      <c r="AK21" s="65"/>
      <c r="AL21" s="3"/>
    </row>
    <row r="22" ht="45.0" customHeight="1">
      <c r="A22" s="54"/>
      <c r="B22" s="55" t="s">
        <v>46</v>
      </c>
      <c r="C22" s="56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63"/>
      <c r="AJ22" s="64"/>
      <c r="AK22" s="65"/>
      <c r="AL22" s="3"/>
    </row>
    <row r="23" ht="45.0" customHeight="1">
      <c r="A23" s="54"/>
      <c r="B23" s="55" t="s">
        <v>47</v>
      </c>
      <c r="C23" s="56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63"/>
      <c r="AJ23" s="64"/>
      <c r="AK23" s="65">
        <f t="shared" ref="AK23:AK36" si="4">COUNTIF(C23:AJ23,"*")/COUNTIF($C$3:$AJ$4,"*")</f>
        <v>0</v>
      </c>
      <c r="AL23" s="3"/>
    </row>
    <row r="24" ht="45.0" customHeight="1">
      <c r="A24" s="54"/>
      <c r="B24" s="55" t="s">
        <v>48</v>
      </c>
      <c r="C24" s="75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4"/>
      <c r="AK24" s="65">
        <f t="shared" si="4"/>
        <v>0</v>
      </c>
      <c r="AL24" s="3"/>
    </row>
    <row r="25" ht="45.0" customHeight="1">
      <c r="A25" s="81"/>
      <c r="B25" s="82" t="s">
        <v>49</v>
      </c>
      <c r="C25" s="83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84"/>
      <c r="AK25" s="85">
        <f t="shared" si="4"/>
        <v>0</v>
      </c>
      <c r="AL25" s="3"/>
    </row>
    <row r="26" ht="66.0" customHeight="1">
      <c r="A26" s="48">
        <v>4.0</v>
      </c>
      <c r="B26" s="49" t="s">
        <v>50</v>
      </c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>
        <f t="shared" si="4"/>
        <v>0</v>
      </c>
      <c r="AL26" s="3"/>
    </row>
    <row r="27" ht="45.0" customHeight="1">
      <c r="A27" s="54"/>
      <c r="B27" s="55" t="s">
        <v>51</v>
      </c>
      <c r="C27" s="75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4"/>
      <c r="AK27" s="65">
        <f t="shared" si="4"/>
        <v>0</v>
      </c>
      <c r="AL27" s="3"/>
    </row>
    <row r="28" ht="45.0" customHeight="1">
      <c r="A28" s="54"/>
      <c r="B28" s="96" t="s">
        <v>52</v>
      </c>
      <c r="C28" s="97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63"/>
      <c r="AJ28" s="64"/>
      <c r="AK28" s="65">
        <f t="shared" si="4"/>
        <v>0</v>
      </c>
      <c r="AL28" s="3"/>
    </row>
    <row r="29" ht="45.0" customHeight="1">
      <c r="A29" s="81"/>
      <c r="B29" s="82" t="s">
        <v>53</v>
      </c>
      <c r="C29" s="83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84"/>
      <c r="AK29" s="85">
        <f t="shared" si="4"/>
        <v>0</v>
      </c>
      <c r="AL29" s="3"/>
    </row>
    <row r="30" ht="66.0" customHeight="1">
      <c r="A30" s="48">
        <v>5.0</v>
      </c>
      <c r="B30" s="49" t="s">
        <v>54</v>
      </c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2"/>
      <c r="AK30" s="53">
        <f t="shared" si="4"/>
        <v>0</v>
      </c>
      <c r="AL30" s="3"/>
    </row>
    <row r="31" ht="45.0" customHeight="1">
      <c r="A31" s="54"/>
      <c r="B31" s="55" t="s">
        <v>55</v>
      </c>
      <c r="C31" s="56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63"/>
      <c r="AJ31" s="64"/>
      <c r="AK31" s="65">
        <f t="shared" si="4"/>
        <v>0</v>
      </c>
      <c r="AL31" s="3"/>
    </row>
    <row r="32" ht="45.0" customHeight="1">
      <c r="A32" s="54"/>
      <c r="B32" s="55" t="s">
        <v>56</v>
      </c>
      <c r="C32" s="75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4"/>
      <c r="AK32" s="65">
        <f t="shared" si="4"/>
        <v>0</v>
      </c>
      <c r="AL32" s="3"/>
    </row>
    <row r="33" ht="45.0" customHeight="1">
      <c r="A33" s="81"/>
      <c r="B33" s="82" t="s">
        <v>57</v>
      </c>
      <c r="C33" s="83"/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84"/>
      <c r="AK33" s="85">
        <f t="shared" si="4"/>
        <v>0</v>
      </c>
      <c r="AL33" s="3"/>
    </row>
    <row r="34" ht="66.0" customHeight="1">
      <c r="A34" s="48">
        <v>6.0</v>
      </c>
      <c r="B34" s="49" t="s">
        <v>58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2"/>
      <c r="AK34" s="53">
        <f t="shared" si="4"/>
        <v>0</v>
      </c>
      <c r="AL34" s="3"/>
    </row>
    <row r="35" ht="45.0" customHeight="1">
      <c r="A35" s="54"/>
      <c r="B35" s="55" t="s">
        <v>59</v>
      </c>
      <c r="C35" s="56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63"/>
      <c r="AJ35" s="64"/>
      <c r="AK35" s="65">
        <f t="shared" si="4"/>
        <v>0</v>
      </c>
      <c r="AL35" s="3"/>
    </row>
    <row r="36" ht="45.0" customHeight="1">
      <c r="A36" s="99"/>
      <c r="B36" s="82" t="s">
        <v>60</v>
      </c>
      <c r="C36" s="100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2"/>
      <c r="AK36" s="85">
        <f t="shared" si="4"/>
        <v>0</v>
      </c>
      <c r="AL36" s="3"/>
    </row>
    <row r="37" ht="14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ht="14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ht="14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ht="14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ht="14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ht="14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</row>
    <row r="43" ht="14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</row>
    <row r="44" ht="14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ht="14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ht="14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ht="14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ht="14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ht="14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ht="14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11 C12 C13:AJ36 E12:AJ12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9.14"/>
    <col customWidth="1" min="7" max="26" width="8.71"/>
  </cols>
  <sheetData>
    <row r="1" ht="30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56.25" customHeight="1">
      <c r="A3" s="11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56.25" customHeight="1">
      <c r="A4" s="11" t="s">
        <v>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6.25" customHeight="1">
      <c r="A5" s="1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6.25" customHeight="1">
      <c r="A6" s="1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56.25" customHeight="1">
      <c r="A7" s="11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56.25" customHeight="1">
      <c r="A8" s="11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56.25" customHeight="1">
      <c r="A9" s="11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6.25" customHeight="1">
      <c r="A10" s="11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56.25" customHeight="1">
      <c r="A11" s="11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6.25" customHeight="1">
      <c r="A12" s="11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56.25" customHeight="1">
      <c r="A13" s="1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56.25" customHeight="1">
      <c r="A14" s="11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56.25" customHeight="1">
      <c r="A15" s="11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1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1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1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1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1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1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1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1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1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1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1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1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1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1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1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1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11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11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11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11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1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1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1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11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11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11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11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11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11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11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11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11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1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11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11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11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11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11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11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11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