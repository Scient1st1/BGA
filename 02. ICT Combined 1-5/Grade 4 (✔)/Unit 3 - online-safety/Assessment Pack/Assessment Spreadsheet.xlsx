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sment 1" sheetId="1" r:id="rId5"/>
    <sheet state="visible" name=" Assessment 2" sheetId="2" r:id="rId6"/>
    <sheet state="visible" name="Assessment 3" sheetId="3" r:id="rId7"/>
    <sheet state="visible" name="Assessment 4" sheetId="4" r:id="rId8"/>
  </sheets>
  <definedNames/>
  <calcPr/>
</workbook>
</file>

<file path=xl/sharedStrings.xml><?xml version="1.0" encoding="utf-8"?>
<sst xmlns="http://schemas.openxmlformats.org/spreadsheetml/2006/main" count="152" uniqueCount="71">
  <si>
    <t>End of Unit Assessment | Computing | Year 4 | Online Safety</t>
  </si>
  <si>
    <t>Lesson Aim</t>
  </si>
  <si>
    <t xml:space="preserve">All  </t>
  </si>
  <si>
    <t>Success Criteria</t>
  </si>
  <si>
    <t xml:space="preserve">Most  </t>
  </si>
  <si>
    <t xml:space="preserve">Some  </t>
  </si>
  <si>
    <t>NC Aims Covered in the Name of Unit</t>
  </si>
  <si>
    <t>*Insert a character against the criteria the child has met. If they have not met the criteria leave it blank.*</t>
  </si>
  <si>
    <t xml:space="preserve">Define cyberbullying; know how to respond to a hurtful message or comment online; access a trusted search engine; understand that different search terms give different results; know what plagiarism is; identify which information to keep private online; explain what digital citizenship is; tell someone else at least one way to stay safe online.
</t>
  </si>
  <si>
    <t xml:space="preserve">Identify comments or messages that may be hurtful to others; edit their own messages and comments to make sure they are kind; understand that search results are ranked; choose an appropriate number of words for a search term; explain how to use other people’s work respectfully; explain why it may be dangerous to share private information; explain how to be a good digital citizen; tell someone else more than one way to stay safe online.
</t>
  </si>
  <si>
    <t>Understand why other people may be hurt by messages or comments; consider the differences and similarities between online and real-life communication; identify factors that affect the ranking of search results;
use strategies which improve results when searching online; look for citations online; write a citation;  understand why some websites ask for registration information; explain how being a good digital citizen is linked to being a good citizen in real life; advise others on the key ways to stay safe online.</t>
  </si>
  <si>
    <t>Name</t>
  </si>
  <si>
    <t>Use technology safely, respectfully and responsibly; recognise acceptable/unacceptable behaviour; identify a range of ways to report concerns about content and contact.</t>
  </si>
  <si>
    <t>Use search technologies effectively, appreciate how results are selected and ranked, and be discerning in evaluating digital content.</t>
  </si>
  <si>
    <t>% of class</t>
  </si>
  <si>
    <t>% met by child</t>
  </si>
  <si>
    <t>I can identify how a message can hurt someone’s feelings.</t>
  </si>
  <si>
    <t>Has the child met the all and most statements?</t>
  </si>
  <si>
    <t>I know how to respond to a hurtful message or comment online.</t>
  </si>
  <si>
    <t>All</t>
  </si>
  <si>
    <t>Define cyberbullying.</t>
  </si>
  <si>
    <t>I can edit my own messages and comments to make sure I am not being unkind.</t>
  </si>
  <si>
    <t>I can say how I should respond to a hurtful message online.</t>
  </si>
  <si>
    <t>Know how to respond to a hurtful message or comment online.</t>
  </si>
  <si>
    <t>I can explain why other people may be hurt by messages or comments.</t>
  </si>
  <si>
    <t>Access a trusted search engine.</t>
  </si>
  <si>
    <t>Understand that different search terms give different results.</t>
  </si>
  <si>
    <t>I can use a search engine accurately.</t>
  </si>
  <si>
    <t>Know what plagiarism is.</t>
  </si>
  <si>
    <t>I can access a trusted search engine.</t>
  </si>
  <si>
    <t>Identify which information to keep private online.</t>
  </si>
  <si>
    <t>I can use strategies which improve my results when searching online</t>
  </si>
  <si>
    <t>I can choose an appropriate number of words to include in my searches.</t>
  </si>
  <si>
    <t>Explain what digital citizenship is.</t>
  </si>
  <si>
    <t xml:space="preserve"> </t>
  </si>
  <si>
    <t>I understand the term ‘plagiarism’ and how to avoid it.</t>
  </si>
  <si>
    <t>Tell someone else at least one way to stay safe online.</t>
  </si>
  <si>
    <t>I can explain how to use other people’s work respectfully.</t>
  </si>
  <si>
    <t>Most</t>
  </si>
  <si>
    <t>Identify comments or messages that may be hurtful to others.</t>
  </si>
  <si>
    <t>I can explain what a citation is.</t>
  </si>
  <si>
    <t>Edit their own messages and comments to make sure they are kind.</t>
  </si>
  <si>
    <t>I can write a citation.</t>
  </si>
  <si>
    <t>Understand that search results are ranked.</t>
  </si>
  <si>
    <t>I can explain why plagiarism is harmful.</t>
  </si>
  <si>
    <t>Choose an appropriate number of words for a search term.</t>
  </si>
  <si>
    <t>To create a safe online profile.</t>
  </si>
  <si>
    <t>Explain how to use other people’s work respectfully.</t>
  </si>
  <si>
    <t>I can identify the information that I shouldn’t share online.</t>
  </si>
  <si>
    <t>Explain why it may be dangerous to share private information.</t>
  </si>
  <si>
    <t>I know why it is dangerous to share certain information.</t>
  </si>
  <si>
    <t>Explain how to be a good digital citizen.</t>
  </si>
  <si>
    <t>I understand why some websites ask for registration information.</t>
  </si>
  <si>
    <t>Tell someone else more than one way to stay safe online.</t>
  </si>
  <si>
    <t>To explain how to be a responsible digital citizen.</t>
  </si>
  <si>
    <t>Some</t>
  </si>
  <si>
    <t>Understand why other people may be hurt by messages or comments.</t>
  </si>
  <si>
    <t xml:space="preserve">I can explain what digital citizenship is. </t>
  </si>
  <si>
    <t>Consider the differences and similarities between online and real-life communication.</t>
  </si>
  <si>
    <t>I can explain how to be a good citizen in real life and online.</t>
  </si>
  <si>
    <t>Identify factors that affect the ranking of search results.</t>
  </si>
  <si>
    <t>Use strategies which improve results when searching online.</t>
  </si>
  <si>
    <t xml:space="preserve">To create an online safety superhero character. </t>
  </si>
  <si>
    <t>Look for citations online.</t>
  </si>
  <si>
    <t>I can design a character that represents at least one aspect of online safety.</t>
  </si>
  <si>
    <t>I can use what I have learned about online safety to explain what behaviour my superhero will look for.</t>
  </si>
  <si>
    <t>Write a citation.</t>
  </si>
  <si>
    <t>Understand why some websites ask for registration information.</t>
  </si>
  <si>
    <t>I can apply what I have learned to write a ‘top tip’ for online safety.</t>
  </si>
  <si>
    <t>explain how being a good digital citizen is linked to being a good citizen in real life.</t>
  </si>
  <si>
    <t>Advise others on the key ways to stay safe online.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</si>
</sst>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8.0"/>
      <color theme="1"/>
      <name val="Arial"/>
    </font>
    <font/>
    <font>
      <sz val="11.0"/>
      <color theme="1"/>
      <name val="Arial"/>
    </font>
    <font>
      <b/>
      <sz val="14.0"/>
      <color theme="0"/>
      <name val="Arial"/>
    </font>
    <font>
      <i/>
      <sz val="11.0"/>
      <color theme="1"/>
      <name val="Arial"/>
    </font>
    <font>
      <sz val="10.0"/>
      <color rgb="FF3F3F3F"/>
      <name val="Arial"/>
    </font>
    <font>
      <sz val="11.0"/>
      <color rgb="FF3A3838"/>
      <name val="Arial"/>
    </font>
    <font>
      <sz val="11.0"/>
      <color rgb="FFDC205A"/>
      <name val="Arial"/>
    </font>
    <font>
      <b/>
      <sz val="11.0"/>
      <color theme="0"/>
      <name val="Arial"/>
    </font>
    <font>
      <sz val="11.0"/>
      <color rgb="FF3F3F3F"/>
      <name val="Arial"/>
    </font>
    <font>
      <sz val="10.0"/>
      <color theme="1"/>
      <name val="Arial"/>
    </font>
    <font>
      <sz val="9.0"/>
      <color theme="1"/>
      <name val="Arial"/>
    </font>
    <font>
      <sz val="9.0"/>
      <color rgb="FF3A3838"/>
      <name val="Arial"/>
    </font>
    <font>
      <i/>
      <sz val="10.0"/>
      <color theme="1"/>
      <name val="Arial"/>
    </font>
    <font>
      <sz val="10.0"/>
      <color rgb="FF3A3838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CC3E2"/>
        <bgColor rgb="FF9CC3E2"/>
      </patternFill>
    </fill>
    <fill>
      <patternFill patternType="solid">
        <fgColor rgb="FFF2F2F2"/>
        <bgColor rgb="FFF2F2F2"/>
      </patternFill>
    </fill>
  </fills>
  <borders count="60">
    <border/>
    <border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/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Border="1" applyFont="1"/>
    <xf borderId="0" fillId="0" fontId="3" numFmtId="0" xfId="0" applyFont="1"/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2" fillId="2" fontId="3" numFmtId="0" xfId="0" applyAlignment="1" applyBorder="1" applyFill="1" applyFont="1">
      <alignment vertical="center"/>
    </xf>
    <xf borderId="3" fillId="2" fontId="4" numFmtId="0" xfId="0" applyAlignment="1" applyBorder="1" applyFill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5" fillId="0" fontId="2" numFmtId="0" xfId="0" applyBorder="1" applyFont="1"/>
    <xf borderId="0" fillId="0" fontId="3" numFmtId="0" xfId="0" applyAlignment="1" applyFont="1">
      <alignment horizontal="left" shrinkToFit="0" vertical="top" wrapText="1"/>
    </xf>
    <xf borderId="6" fillId="0" fontId="2" numFmtId="0" xfId="0" applyBorder="1" applyFont="1"/>
    <xf borderId="0" fillId="0" fontId="5" numFmtId="0" xfId="0" applyAlignment="1" applyFont="1">
      <alignment horizontal="right" vertical="center"/>
    </xf>
    <xf borderId="7" fillId="3" fontId="6" numFmtId="0" xfId="0" applyAlignment="1" applyBorder="1" applyFill="1" applyFont="1">
      <alignment horizontal="left" shrinkToFit="0" vertical="top" wrapText="1"/>
    </xf>
    <xf borderId="0" fillId="0" fontId="1" numFmtId="9" xfId="0" applyAlignment="1" applyFont="1" applyNumberFormat="1">
      <alignment horizontal="center" shrinkToFit="0" wrapText="1"/>
    </xf>
    <xf borderId="8" fillId="0" fontId="2" numFmtId="0" xfId="0" applyBorder="1" applyFont="1"/>
    <xf borderId="9" fillId="0" fontId="7" numFmtId="0" xfId="0" applyAlignment="1" applyBorder="1" applyFont="1">
      <alignment horizontal="center" textRotation="90"/>
    </xf>
    <xf borderId="8" fillId="0" fontId="3" numFmtId="0" xfId="0" applyAlignment="1" applyBorder="1" applyFont="1">
      <alignment horizontal="center" textRotation="90"/>
    </xf>
    <xf borderId="10" fillId="0" fontId="7" numFmtId="0" xfId="0" applyAlignment="1" applyBorder="1" applyFont="1">
      <alignment horizontal="center" shrinkToFit="0" textRotation="90" wrapText="1"/>
    </xf>
    <xf borderId="8" fillId="0" fontId="1" numFmtId="9" xfId="0" applyAlignment="1" applyBorder="1" applyFont="1" applyNumberFormat="1">
      <alignment horizontal="center" shrinkToFit="0" wrapText="1"/>
    </xf>
    <xf borderId="11" fillId="0" fontId="2" numFmtId="0" xfId="0" applyBorder="1" applyFont="1"/>
    <xf borderId="0" fillId="0" fontId="8" numFmtId="0" xfId="0" applyAlignment="1" applyFont="1">
      <alignment shrinkToFit="0" vertical="center" wrapText="1"/>
    </xf>
    <xf borderId="12" fillId="0" fontId="2" numFmtId="0" xfId="0" applyBorder="1" applyFont="1"/>
    <xf borderId="13" fillId="0" fontId="7" numFmtId="0" xfId="0" applyAlignment="1" applyBorder="1" applyFont="1">
      <alignment horizontal="center" shrinkToFit="0" textRotation="90" wrapText="1"/>
    </xf>
    <xf borderId="14" fillId="0" fontId="3" numFmtId="9" xfId="0" applyAlignment="1" applyBorder="1" applyFont="1" applyNumberFormat="1">
      <alignment horizontal="center" shrinkToFit="0" vertical="top" wrapText="1"/>
    </xf>
    <xf borderId="15" fillId="0" fontId="2" numFmtId="0" xfId="0" applyBorder="1" applyFont="1"/>
    <xf borderId="3" fillId="3" fontId="3" numFmtId="0" xfId="0" applyAlignment="1" applyBorder="1" applyFill="1" applyFont="1">
      <alignment horizontal="center" textRotation="90"/>
    </xf>
    <xf borderId="1" fillId="0" fontId="3" numFmtId="9" xfId="0" applyAlignment="1" applyBorder="1" applyFont="1" applyNumberFormat="1">
      <alignment horizontal="center" shrinkToFit="0" vertical="top" wrapText="1"/>
    </xf>
    <xf borderId="14" fillId="0" fontId="2" numFmtId="0" xfId="0" applyBorder="1" applyFont="1"/>
    <xf borderId="0" fillId="0" fontId="3" numFmtId="0" xfId="0" applyAlignment="1" applyFont="1">
      <alignment horizontal="left" vertical="top"/>
    </xf>
    <xf borderId="16" fillId="3" fontId="3" numFmtId="0" xfId="0" applyAlignment="1" applyBorder="1" applyFill="1" applyFont="1">
      <alignment horizontal="center" textRotation="90"/>
    </xf>
    <xf borderId="16" fillId="2" fontId="9" numFmtId="9" xfId="0" applyAlignment="1" applyBorder="1" applyFill="1" applyFont="1" applyNumberFormat="1">
      <alignment horizontal="center" shrinkToFit="0" vertical="center" wrapText="1"/>
    </xf>
    <xf borderId="17" fillId="3" fontId="3" numFmtId="0" xfId="0" applyAlignment="1" applyBorder="1" applyFill="1" applyFont="1">
      <alignment horizontal="right" shrinkToFit="0" vertical="center" wrapText="1"/>
    </xf>
    <xf borderId="18" fillId="3" fontId="3" numFmtId="0" xfId="0" applyAlignment="1" applyBorder="1" applyFill="1" applyFont="1">
      <alignment horizontal="right" shrinkToFit="0" vertical="center" wrapText="1"/>
    </xf>
    <xf borderId="19" fillId="0" fontId="2" numFmtId="0" xfId="0" applyBorder="1" applyFont="1"/>
    <xf borderId="20" fillId="3" fontId="7" numFmtId="9" xfId="0" applyAlignment="1" applyBorder="1" applyFill="1" applyFont="1" applyNumberFormat="1">
      <alignment horizontal="center" shrinkToFit="0" vertical="center" wrapText="1"/>
    </xf>
    <xf borderId="21" fillId="3" fontId="7" numFmtId="9" xfId="0" applyAlignment="1" applyBorder="1" applyFill="1" applyFont="1" applyNumberFormat="1">
      <alignment horizontal="center" shrinkToFit="0" vertical="center" wrapText="1"/>
    </xf>
    <xf borderId="11" fillId="0" fontId="10" numFmtId="0" xfId="0" applyAlignment="1" applyBorder="1" applyFont="1">
      <alignment horizontal="left" vertical="center"/>
    </xf>
    <xf borderId="22" fillId="3" fontId="7" numFmtId="9" xfId="0" applyAlignment="1" applyBorder="1" applyFill="1" applyFont="1" applyNumberFormat="1">
      <alignment horizontal="center" shrinkToFit="0" vertical="center" wrapText="1"/>
    </xf>
    <xf borderId="23" fillId="3" fontId="7" numFmtId="9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24" fillId="3" fontId="3" numFmtId="0" xfId="0" applyAlignment="1" applyBorder="1" applyFill="1" applyFont="1">
      <alignment horizontal="center" textRotation="90"/>
    </xf>
    <xf borderId="9" fillId="0" fontId="1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center"/>
    </xf>
    <xf borderId="25" fillId="2" fontId="11" numFmtId="0" xfId="0" applyAlignment="1" applyBorder="1" applyFill="1" applyFont="1">
      <alignment horizontal="left" shrinkToFit="0" vertical="center" wrapText="1"/>
    </xf>
    <xf borderId="26" fillId="3" fontId="12" numFmtId="0" xfId="0" applyAlignment="1" applyBorder="1" applyFill="1" applyFont="1">
      <alignment horizontal="right" shrinkToFit="0" vertical="center" wrapText="1"/>
    </xf>
    <xf borderId="27" fillId="0" fontId="3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29" fillId="0" fontId="3" numFmtId="0" xfId="0" applyAlignment="1" applyBorder="1" applyFont="1">
      <alignment horizontal="center" shrinkToFit="0" vertical="center" wrapText="1"/>
    </xf>
    <xf borderId="30" fillId="3" fontId="13" numFmtId="9" xfId="0" applyAlignment="1" applyBorder="1" applyFill="1" applyFont="1" applyNumberFormat="1">
      <alignment horizontal="center" shrinkToFit="0" vertical="center" wrapText="1"/>
    </xf>
    <xf borderId="31" fillId="0" fontId="3" numFmtId="0" xfId="0" applyAlignment="1" applyBorder="1" applyFont="1">
      <alignment horizontal="center" shrinkToFit="0" vertical="center" wrapText="1"/>
    </xf>
    <xf borderId="32" fillId="3" fontId="3" numFmtId="9" xfId="0" applyAlignment="1" applyBorder="1" applyFill="1" applyFont="1" applyNumberFormat="1">
      <alignment vertical="center"/>
    </xf>
    <xf borderId="15" fillId="0" fontId="1" numFmtId="0" xfId="0" applyAlignment="1" applyBorder="1" applyFont="1">
      <alignment horizontal="left" shrinkToFit="0" vertical="top" wrapText="1"/>
    </xf>
    <xf borderId="33" fillId="3" fontId="14" numFmtId="0" xfId="0" applyAlignment="1" applyBorder="1" applyFill="1" applyFont="1">
      <alignment horizontal="left"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35" fillId="0" fontId="3" numFmtId="0" xfId="0" applyAlignment="1" applyBorder="1" applyFont="1">
      <alignment horizontal="center" shrinkToFit="0" vertical="center" wrapText="1"/>
    </xf>
    <xf borderId="36" fillId="3" fontId="3" numFmtId="9" xfId="0" applyAlignment="1" applyBorder="1" applyFill="1" applyFont="1" applyNumberFormat="1">
      <alignment horizontal="right" vertical="center"/>
    </xf>
    <xf borderId="0" fillId="0" fontId="12" numFmtId="0" xfId="0" applyAlignment="1" applyFont="1">
      <alignment horizontal="center"/>
    </xf>
    <xf borderId="37" fillId="2" fontId="1" numFmtId="0" xfId="0" applyAlignment="1" applyBorder="1" applyFill="1" applyFont="1">
      <alignment horizontal="center" textRotation="90" vertical="center"/>
    </xf>
    <xf borderId="32" fillId="3" fontId="15" numFmtId="0" xfId="0" applyAlignment="1" applyBorder="1" applyFill="1" applyFont="1">
      <alignment horizontal="left" shrinkToFit="0" vertical="center" wrapText="1"/>
    </xf>
    <xf borderId="38" fillId="0" fontId="3" numFmtId="0" xfId="0" applyAlignment="1" applyBorder="1" applyFont="1">
      <alignment horizontal="center" shrinkToFit="0" vertical="center" wrapText="1"/>
    </xf>
    <xf borderId="39" fillId="0" fontId="3" numFmtId="0" xfId="0" applyAlignment="1" applyBorder="1" applyFont="1">
      <alignment horizontal="center" shrinkToFit="0" vertical="center" wrapText="1"/>
    </xf>
    <xf borderId="40" fillId="0" fontId="3" numFmtId="0" xfId="0" applyAlignment="1" applyBorder="1" applyFont="1">
      <alignment horizontal="center" shrinkToFit="0" vertical="center" wrapText="1"/>
    </xf>
    <xf borderId="41" fillId="3" fontId="3" numFmtId="9" xfId="0" applyAlignment="1" applyBorder="1" applyFill="1" applyFont="1" applyNumberFormat="1">
      <alignment vertical="center"/>
    </xf>
    <xf borderId="42" fillId="2" fontId="11" numFmtId="0" xfId="0" applyAlignment="1" applyBorder="1" applyFill="1" applyFont="1">
      <alignment horizontal="left" shrinkToFit="0" vertical="center" wrapText="1"/>
    </xf>
    <xf borderId="24" fillId="3" fontId="15" numFmtId="0" xfId="0" applyAlignment="1" applyBorder="1" applyFill="1" applyFont="1">
      <alignment horizontal="left" shrinkToFit="0" vertical="center" wrapText="1"/>
    </xf>
    <xf borderId="43" fillId="0" fontId="3" numFmtId="0" xfId="0" applyAlignment="1" applyBorder="1" applyFont="1">
      <alignment horizontal="center" shrinkToFit="0" vertical="center" wrapText="1"/>
    </xf>
    <xf borderId="44" fillId="0" fontId="1" numFmtId="0" xfId="0" applyAlignment="1" applyBorder="1" applyFont="1">
      <alignment horizontal="left" shrinkToFit="0" vertical="top" wrapText="1"/>
    </xf>
    <xf borderId="45" fillId="3" fontId="14" numFmtId="0" xfId="0" applyAlignment="1" applyBorder="1" applyFill="1" applyFont="1">
      <alignment horizontal="left" shrinkToFit="0" vertical="center" wrapText="1"/>
    </xf>
    <xf borderId="46" fillId="0" fontId="3" numFmtId="0" xfId="0" applyAlignment="1" applyBorder="1" applyFont="1">
      <alignment horizontal="center" shrinkToFit="0" vertical="center" wrapText="1"/>
    </xf>
    <xf borderId="47" fillId="0" fontId="3" numFmtId="0" xfId="0" applyAlignment="1" applyBorder="1" applyFont="1">
      <alignment horizontal="center" shrinkToFit="0" vertical="center" wrapText="1"/>
    </xf>
    <xf borderId="48" fillId="0" fontId="3" numFmtId="0" xfId="0" applyAlignment="1" applyBorder="1" applyFont="1">
      <alignment horizontal="center" shrinkToFit="0" vertical="center" wrapText="1"/>
    </xf>
    <xf borderId="49" fillId="0" fontId="3" numFmtId="0" xfId="0" applyAlignment="1" applyBorder="1" applyFont="1">
      <alignment horizontal="center" shrinkToFit="0" vertical="center" wrapText="1"/>
    </xf>
    <xf borderId="36" fillId="3" fontId="3" numFmtId="9" xfId="0" applyAlignment="1" applyBorder="1" applyFill="1" applyFont="1" applyNumberFormat="1">
      <alignment vertical="center"/>
    </xf>
    <xf borderId="0" fillId="0" fontId="16" numFmtId="0" xfId="0" applyAlignment="1" applyFont="1">
      <alignment horizontal="left" vertical="top"/>
    </xf>
    <xf borderId="41" fillId="3" fontId="15" numFmtId="0" xfId="0" applyAlignment="1" applyBorder="1" applyFill="1" applyFont="1">
      <alignment horizontal="left" shrinkToFit="0" vertical="center" wrapText="1"/>
    </xf>
    <xf borderId="50" fillId="0" fontId="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51" fillId="0" fontId="2" numFmtId="0" xfId="0" applyBorder="1" applyFont="1"/>
    <xf borderId="36" fillId="3" fontId="15" numFmtId="0" xfId="0" applyAlignment="1" applyBorder="1" applyFill="1" applyFont="1">
      <alignment horizontal="left" shrinkToFit="0" vertical="center" wrapText="1"/>
    </xf>
    <xf borderId="52" fillId="0" fontId="3" numFmtId="0" xfId="0" applyAlignment="1" applyBorder="1" applyFont="1">
      <alignment horizontal="center" shrinkToFit="0" vertical="center" wrapText="1"/>
    </xf>
    <xf borderId="51" fillId="0" fontId="10" numFmtId="0" xfId="0" applyAlignment="1" applyBorder="1" applyFont="1">
      <alignment horizontal="left" vertical="center"/>
    </xf>
    <xf borderId="53" fillId="0" fontId="3" numFmtId="0" xfId="0" applyAlignment="1" applyBorder="1" applyFont="1">
      <alignment horizontal="center" shrinkToFit="0" vertical="center" wrapText="1"/>
    </xf>
    <xf borderId="54" fillId="3" fontId="14" numFmtId="0" xfId="0" applyAlignment="1" applyBorder="1" applyFill="1" applyFont="1">
      <alignment horizontal="left" shrinkToFit="0" vertical="center" wrapText="1"/>
    </xf>
    <xf borderId="55" fillId="0" fontId="3" numFmtId="0" xfId="0" applyAlignment="1" applyBorder="1" applyFont="1">
      <alignment horizontal="center" shrinkToFit="0" vertical="center" wrapText="1"/>
    </xf>
    <xf borderId="56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top" wrapText="1"/>
    </xf>
    <xf borderId="0" fillId="0" fontId="16" numFmtId="0" xfId="0" applyAlignment="1" applyFont="1">
      <alignment vertical="top"/>
    </xf>
    <xf borderId="57" fillId="2" fontId="1" numFmtId="0" xfId="0" applyAlignment="1" applyBorder="1" applyFill="1" applyFont="1">
      <alignment horizontal="center" textRotation="90" vertical="center"/>
    </xf>
    <xf borderId="25" fillId="3" fontId="15" numFmtId="0" xfId="0" applyAlignment="1" applyBorder="1" applyFill="1" applyFont="1">
      <alignment horizontal="left" shrinkToFit="0" vertical="center" wrapText="1"/>
    </xf>
    <xf borderId="58" fillId="0" fontId="2" numFmtId="0" xfId="0" applyBorder="1" applyFont="1"/>
    <xf borderId="42" fillId="3" fontId="15" numFmtId="0" xfId="0" applyAlignment="1" applyBorder="1" applyFill="1" applyFont="1">
      <alignment horizontal="left" shrinkToFit="0" vertical="center" wrapText="1"/>
    </xf>
    <xf borderId="44" fillId="0" fontId="1" numFmtId="0" xfId="0" applyAlignment="1" applyBorder="1" applyFont="1">
      <alignment horizontal="center" vertical="center"/>
    </xf>
    <xf borderId="46" fillId="0" fontId="3" numFmtId="0" xfId="0" applyAlignment="1" applyBorder="1" applyFont="1">
      <alignment horizontal="center"/>
    </xf>
    <xf borderId="48" fillId="0" fontId="3" numFmtId="0" xfId="0" applyAlignment="1" applyBorder="1" applyFont="1">
      <alignment horizontal="center"/>
    </xf>
    <xf borderId="33" fillId="3" fontId="15" numFmtId="0" xfId="0" applyAlignment="1" applyBorder="1" applyFill="1" applyFont="1">
      <alignment horizontal="left" shrinkToFit="0" vertical="center" wrapText="1"/>
    </xf>
    <xf borderId="49" fillId="0" fontId="3" numFmtId="0" xfId="0" applyAlignment="1" applyBorder="1" applyFont="1">
      <alignment horizontal="center"/>
    </xf>
    <xf borderId="59" fillId="0" fontId="2" numFmtId="0" xfId="0" applyBorder="1" applyFont="1"/>
    <xf borderId="45" fillId="3" fontId="15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63.43"/>
    <col customWidth="1" min="4" max="7" width="9.14"/>
    <col customWidth="1" min="8" max="26" width="8.71"/>
  </cols>
  <sheetData>
    <row r="1" ht="30.0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8" t="s">
        <v>2</v>
      </c>
      <c r="B2" s="8" t="s">
        <v>4</v>
      </c>
      <c r="C2" s="8" t="s">
        <v>5</v>
      </c>
      <c r="D2" s="3"/>
      <c r="E2" s="11"/>
      <c r="F2" s="11"/>
      <c r="G2" s="1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4.25" customHeight="1">
      <c r="A3" s="14" t="s">
        <v>8</v>
      </c>
      <c r="B3" s="14" t="s">
        <v>9</v>
      </c>
      <c r="C3" s="14" t="s">
        <v>10</v>
      </c>
      <c r="D3" s="3"/>
      <c r="E3" s="11"/>
      <c r="F3" s="11"/>
      <c r="G3" s="1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21"/>
      <c r="B4" s="21"/>
      <c r="C4" s="21"/>
      <c r="D4" s="3"/>
      <c r="E4" s="11"/>
      <c r="F4" s="11"/>
      <c r="G4" s="1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1"/>
      <c r="B5" s="21"/>
      <c r="C5" s="21"/>
      <c r="D5" s="3"/>
      <c r="E5" s="11"/>
      <c r="F5" s="11"/>
      <c r="G5" s="1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7.5" customHeight="1">
      <c r="A6" s="23"/>
      <c r="B6" s="23"/>
      <c r="C6" s="23"/>
      <c r="D6" s="3"/>
      <c r="E6" s="11"/>
      <c r="F6" s="11"/>
      <c r="G6" s="1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32">
        <f t="shared" ref="A7:C7" si="1">(COUNTIF(A8:A38, "*"))/(COUNTIF($A$8:$C$38, "*"))</f>
        <v>0.3333333333</v>
      </c>
      <c r="B7" s="32">
        <f t="shared" si="1"/>
        <v>0.3333333333</v>
      </c>
      <c r="C7" s="32">
        <f t="shared" si="1"/>
        <v>0.3333333333</v>
      </c>
      <c r="D7" s="3"/>
      <c r="E7" s="11"/>
      <c r="F7" s="11"/>
      <c r="G7" s="11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8" t="s">
        <v>11</v>
      </c>
      <c r="B8" s="38" t="s">
        <v>11</v>
      </c>
      <c r="C8" s="38" t="s">
        <v>11</v>
      </c>
      <c r="D8" s="3"/>
      <c r="E8" s="11"/>
      <c r="F8" s="11"/>
      <c r="G8" s="1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8" t="s">
        <v>11</v>
      </c>
      <c r="B9" s="38" t="s">
        <v>11</v>
      </c>
      <c r="C9" s="38" t="s">
        <v>11</v>
      </c>
      <c r="D9" s="3"/>
      <c r="E9" s="11"/>
      <c r="F9" s="11"/>
      <c r="G9" s="1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8" t="s">
        <v>11</v>
      </c>
      <c r="B10" s="38" t="s">
        <v>11</v>
      </c>
      <c r="C10" s="38" t="s">
        <v>11</v>
      </c>
      <c r="D10" s="3"/>
      <c r="E10" s="11"/>
      <c r="F10" s="11"/>
      <c r="G10" s="1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38" t="s">
        <v>11</v>
      </c>
      <c r="B11" s="38" t="s">
        <v>11</v>
      </c>
      <c r="C11" s="38" t="s">
        <v>11</v>
      </c>
      <c r="D11" s="3"/>
      <c r="E11" s="11"/>
      <c r="F11" s="11"/>
      <c r="G11" s="1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8"/>
      <c r="B12" s="38"/>
      <c r="C12" s="38"/>
      <c r="D12" s="3"/>
      <c r="E12" s="11"/>
      <c r="F12" s="11"/>
      <c r="G12" s="1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38"/>
      <c r="B13" s="38"/>
      <c r="C13" s="38"/>
      <c r="D13" s="3"/>
      <c r="E13" s="11"/>
      <c r="F13" s="11"/>
      <c r="G13" s="1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38"/>
      <c r="B14" s="38"/>
      <c r="C14" s="38"/>
      <c r="D14" s="3"/>
      <c r="E14" s="11"/>
      <c r="F14" s="11"/>
      <c r="G14" s="1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38"/>
      <c r="B15" s="38"/>
      <c r="C15" s="38"/>
      <c r="D15" s="3"/>
      <c r="E15" s="11"/>
      <c r="F15" s="11"/>
      <c r="G15" s="1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38"/>
      <c r="B16" s="38"/>
      <c r="C16" s="38"/>
      <c r="D16" s="3"/>
      <c r="E16" s="11"/>
      <c r="F16" s="11"/>
      <c r="G16" s="1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38"/>
      <c r="B17" s="38"/>
      <c r="C17" s="38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38"/>
      <c r="B18" s="38"/>
      <c r="C18" s="38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38"/>
      <c r="B19" s="38"/>
      <c r="C19" s="38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38"/>
      <c r="B20" s="38"/>
      <c r="C20" s="38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38"/>
      <c r="B21" s="38"/>
      <c r="C21" s="38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8"/>
      <c r="B22" s="38"/>
      <c r="C22" s="38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38"/>
      <c r="B23" s="38"/>
      <c r="C23" s="38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38"/>
      <c r="B24" s="38"/>
      <c r="C24" s="38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38"/>
      <c r="B25" s="38"/>
      <c r="C25" s="38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8"/>
      <c r="B26" s="38"/>
      <c r="C26" s="38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8"/>
      <c r="B27" s="38"/>
      <c r="C27" s="38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8"/>
      <c r="B28" s="38"/>
      <c r="C28" s="38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8"/>
      <c r="B29" s="38"/>
      <c r="C29" s="38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8"/>
      <c r="B30" s="38"/>
      <c r="C30" s="38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8"/>
      <c r="B31" s="38"/>
      <c r="C31" s="38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8"/>
      <c r="B32" s="38"/>
      <c r="C32" s="38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8"/>
      <c r="B33" s="38"/>
      <c r="C33" s="38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8"/>
      <c r="B34" s="38"/>
      <c r="C34" s="38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8"/>
      <c r="B35" s="38"/>
      <c r="C35" s="38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8"/>
      <c r="B36" s="38"/>
      <c r="C36" s="38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8"/>
      <c r="B37" s="38"/>
      <c r="C37" s="38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82"/>
      <c r="B38" s="82"/>
      <c r="C38" s="8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C1"/>
    <mergeCell ref="A3:A6"/>
    <mergeCell ref="B3:B6"/>
    <mergeCell ref="C3:C6"/>
  </mergeCells>
  <printOptions/>
  <pageMargins bottom="0.75" footer="0.0" header="0.0" left="0.7" right="0.7" top="0.75"/>
  <pageSetup paperSize="9"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9.14"/>
    <col customWidth="1" min="3" max="36" width="6.14"/>
    <col customWidth="1" min="37" max="38" width="9.14"/>
  </cols>
  <sheetData>
    <row r="1" ht="30.0" customHeight="1">
      <c r="A1" s="5" t="str">
        <f>'Assessment 1'!A1</f>
        <v>End of Unit Assessment | Computing | Year 4 | Online Safety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13" t="s">
        <v>7</v>
      </c>
      <c r="AK1" s="3"/>
      <c r="AL1" s="3"/>
    </row>
    <row r="2" ht="114.0" customHeight="1">
      <c r="A2" s="15"/>
      <c r="B2" s="16"/>
      <c r="C2" s="17" t="s">
        <v>11</v>
      </c>
      <c r="D2" s="19" t="s">
        <v>11</v>
      </c>
      <c r="E2" s="19" t="s">
        <v>11</v>
      </c>
      <c r="F2" s="19" t="s">
        <v>11</v>
      </c>
      <c r="G2" s="19" t="s">
        <v>11</v>
      </c>
      <c r="H2" s="19" t="s">
        <v>11</v>
      </c>
      <c r="I2" s="19" t="s">
        <v>11</v>
      </c>
      <c r="J2" s="19" t="s">
        <v>11</v>
      </c>
      <c r="K2" s="19" t="s">
        <v>11</v>
      </c>
      <c r="L2" s="19" t="s">
        <v>11</v>
      </c>
      <c r="M2" s="19" t="s">
        <v>11</v>
      </c>
      <c r="N2" s="19" t="s">
        <v>11</v>
      </c>
      <c r="O2" s="19" t="s">
        <v>11</v>
      </c>
      <c r="P2" s="19" t="s">
        <v>11</v>
      </c>
      <c r="Q2" s="19" t="s">
        <v>11</v>
      </c>
      <c r="R2" s="19" t="s">
        <v>11</v>
      </c>
      <c r="S2" s="19" t="s">
        <v>11</v>
      </c>
      <c r="T2" s="19" t="s">
        <v>11</v>
      </c>
      <c r="U2" s="19" t="s">
        <v>11</v>
      </c>
      <c r="V2" s="19" t="s">
        <v>11</v>
      </c>
      <c r="W2" s="19" t="s">
        <v>11</v>
      </c>
      <c r="X2" s="19" t="s">
        <v>11</v>
      </c>
      <c r="Y2" s="19" t="s">
        <v>11</v>
      </c>
      <c r="Z2" s="19" t="s">
        <v>11</v>
      </c>
      <c r="AA2" s="19" t="s">
        <v>11</v>
      </c>
      <c r="AB2" s="19" t="s">
        <v>11</v>
      </c>
      <c r="AC2" s="19" t="s">
        <v>11</v>
      </c>
      <c r="AD2" s="19" t="s">
        <v>11</v>
      </c>
      <c r="AE2" s="19" t="s">
        <v>11</v>
      </c>
      <c r="AF2" s="19" t="s">
        <v>11</v>
      </c>
      <c r="AG2" s="19" t="s">
        <v>11</v>
      </c>
      <c r="AH2" s="19" t="s">
        <v>11</v>
      </c>
      <c r="AI2" s="19" t="s">
        <v>11</v>
      </c>
      <c r="AJ2" s="24" t="s">
        <v>11</v>
      </c>
      <c r="AK2" s="27"/>
      <c r="AL2" s="3"/>
    </row>
    <row r="3" ht="56.25" customHeight="1">
      <c r="A3" s="28"/>
      <c r="B3" s="29"/>
      <c r="C3" s="26"/>
      <c r="AJ3" s="16"/>
      <c r="AK3" s="31" t="s">
        <v>14</v>
      </c>
      <c r="AL3" s="3"/>
    </row>
    <row r="4" ht="21.0" customHeight="1">
      <c r="A4" s="34" t="s">
        <v>15</v>
      </c>
      <c r="B4" s="35"/>
      <c r="C4" s="37">
        <f t="shared" ref="C4:AJ4" si="1">COUNTIF(C6:C40,"*")/COUNTIF($B$6:$B$40,"*")</f>
        <v>0</v>
      </c>
      <c r="D4" s="37">
        <f t="shared" si="1"/>
        <v>0</v>
      </c>
      <c r="E4" s="37">
        <f t="shared" si="1"/>
        <v>0</v>
      </c>
      <c r="F4" s="37">
        <f t="shared" si="1"/>
        <v>0</v>
      </c>
      <c r="G4" s="37">
        <f t="shared" si="1"/>
        <v>0</v>
      </c>
      <c r="H4" s="37">
        <f t="shared" si="1"/>
        <v>0</v>
      </c>
      <c r="I4" s="37">
        <f t="shared" si="1"/>
        <v>0</v>
      </c>
      <c r="J4" s="37">
        <f t="shared" si="1"/>
        <v>0</v>
      </c>
      <c r="K4" s="37">
        <f t="shared" si="1"/>
        <v>0</v>
      </c>
      <c r="L4" s="37">
        <f t="shared" si="1"/>
        <v>0</v>
      </c>
      <c r="M4" s="37">
        <f t="shared" si="1"/>
        <v>0</v>
      </c>
      <c r="N4" s="37">
        <f t="shared" si="1"/>
        <v>0</v>
      </c>
      <c r="O4" s="37">
        <f t="shared" si="1"/>
        <v>0</v>
      </c>
      <c r="P4" s="37">
        <f t="shared" si="1"/>
        <v>0</v>
      </c>
      <c r="Q4" s="37">
        <f t="shared" si="1"/>
        <v>0</v>
      </c>
      <c r="R4" s="37">
        <f t="shared" si="1"/>
        <v>0</v>
      </c>
      <c r="S4" s="37">
        <f t="shared" si="1"/>
        <v>0</v>
      </c>
      <c r="T4" s="37">
        <f t="shared" si="1"/>
        <v>0</v>
      </c>
      <c r="U4" s="37">
        <f t="shared" si="1"/>
        <v>0</v>
      </c>
      <c r="V4" s="37">
        <f t="shared" si="1"/>
        <v>0</v>
      </c>
      <c r="W4" s="37">
        <f t="shared" si="1"/>
        <v>0</v>
      </c>
      <c r="X4" s="37">
        <f t="shared" si="1"/>
        <v>0</v>
      </c>
      <c r="Y4" s="37">
        <f t="shared" si="1"/>
        <v>0</v>
      </c>
      <c r="Z4" s="37">
        <f t="shared" si="1"/>
        <v>0</v>
      </c>
      <c r="AA4" s="37">
        <f t="shared" si="1"/>
        <v>0</v>
      </c>
      <c r="AB4" s="37">
        <f t="shared" si="1"/>
        <v>0</v>
      </c>
      <c r="AC4" s="37">
        <f t="shared" si="1"/>
        <v>0</v>
      </c>
      <c r="AD4" s="37">
        <f t="shared" si="1"/>
        <v>0</v>
      </c>
      <c r="AE4" s="37">
        <f t="shared" si="1"/>
        <v>0</v>
      </c>
      <c r="AF4" s="37">
        <f t="shared" si="1"/>
        <v>0</v>
      </c>
      <c r="AG4" s="37">
        <f t="shared" si="1"/>
        <v>0</v>
      </c>
      <c r="AH4" s="37">
        <f t="shared" si="1"/>
        <v>0</v>
      </c>
      <c r="AI4" s="37">
        <f t="shared" si="1"/>
        <v>0</v>
      </c>
      <c r="AJ4" s="39">
        <f t="shared" si="1"/>
        <v>0</v>
      </c>
      <c r="AK4" s="42"/>
      <c r="AL4" s="44"/>
    </row>
    <row r="5" ht="30.75" customHeight="1">
      <c r="A5" s="46" t="s">
        <v>17</v>
      </c>
      <c r="B5" s="48"/>
      <c r="C5" s="50" t="str">
        <f t="shared" ref="C5:AI5" si="2">IF(COUNTIF(C6:C21, "*")=6, "y", "n")</f>
        <v>n</v>
      </c>
      <c r="D5" s="50" t="str">
        <f t="shared" si="2"/>
        <v>n</v>
      </c>
      <c r="E5" s="50" t="str">
        <f t="shared" si="2"/>
        <v>n</v>
      </c>
      <c r="F5" s="50" t="str">
        <f t="shared" si="2"/>
        <v>n</v>
      </c>
      <c r="G5" s="50" t="str">
        <f t="shared" si="2"/>
        <v>n</v>
      </c>
      <c r="H5" s="50" t="str">
        <f t="shared" si="2"/>
        <v>n</v>
      </c>
      <c r="I5" s="50" t="str">
        <f t="shared" si="2"/>
        <v>n</v>
      </c>
      <c r="J5" s="50" t="str">
        <f t="shared" si="2"/>
        <v>n</v>
      </c>
      <c r="K5" s="50" t="str">
        <f t="shared" si="2"/>
        <v>n</v>
      </c>
      <c r="L5" s="50" t="str">
        <f t="shared" si="2"/>
        <v>n</v>
      </c>
      <c r="M5" s="50" t="str">
        <f t="shared" si="2"/>
        <v>n</v>
      </c>
      <c r="N5" s="50" t="str">
        <f t="shared" si="2"/>
        <v>n</v>
      </c>
      <c r="O5" s="50" t="str">
        <f t="shared" si="2"/>
        <v>n</v>
      </c>
      <c r="P5" s="50" t="str">
        <f t="shared" si="2"/>
        <v>n</v>
      </c>
      <c r="Q5" s="50" t="str">
        <f t="shared" si="2"/>
        <v>n</v>
      </c>
      <c r="R5" s="50" t="str">
        <f t="shared" si="2"/>
        <v>n</v>
      </c>
      <c r="S5" s="50" t="str">
        <f t="shared" si="2"/>
        <v>n</v>
      </c>
      <c r="T5" s="50" t="str">
        <f t="shared" si="2"/>
        <v>n</v>
      </c>
      <c r="U5" s="50" t="str">
        <f t="shared" si="2"/>
        <v>n</v>
      </c>
      <c r="V5" s="50" t="str">
        <f t="shared" si="2"/>
        <v>n</v>
      </c>
      <c r="W5" s="50" t="str">
        <f t="shared" si="2"/>
        <v>n</v>
      </c>
      <c r="X5" s="50" t="str">
        <f t="shared" si="2"/>
        <v>n</v>
      </c>
      <c r="Y5" s="50" t="str">
        <f t="shared" si="2"/>
        <v>n</v>
      </c>
      <c r="Z5" s="50" t="str">
        <f t="shared" si="2"/>
        <v>n</v>
      </c>
      <c r="AA5" s="50" t="str">
        <f t="shared" si="2"/>
        <v>n</v>
      </c>
      <c r="AB5" s="50" t="str">
        <f t="shared" si="2"/>
        <v>n</v>
      </c>
      <c r="AC5" s="50" t="str">
        <f t="shared" si="2"/>
        <v>n</v>
      </c>
      <c r="AD5" s="50" t="str">
        <f t="shared" si="2"/>
        <v>n</v>
      </c>
      <c r="AE5" s="50" t="str">
        <f t="shared" si="2"/>
        <v>n</v>
      </c>
      <c r="AF5" s="50" t="str">
        <f t="shared" si="2"/>
        <v>n</v>
      </c>
      <c r="AG5" s="50" t="str">
        <f t="shared" si="2"/>
        <v>n</v>
      </c>
      <c r="AH5" s="50" t="str">
        <f t="shared" si="2"/>
        <v>n</v>
      </c>
      <c r="AI5" s="50" t="str">
        <f t="shared" si="2"/>
        <v>n</v>
      </c>
      <c r="AJ5" s="50" t="str">
        <f>IF(COUNTIF(AI6:AI21, "*")=6, "y", "n")</f>
        <v>n</v>
      </c>
      <c r="AK5" s="57">
        <f>COUNTIF(C5:AJ5, "y")/COUNTIF(C2:AJ2,"*")</f>
        <v>0</v>
      </c>
      <c r="AL5" s="58"/>
    </row>
    <row r="6" ht="37.5" customHeight="1">
      <c r="A6" s="59" t="s">
        <v>19</v>
      </c>
      <c r="B6" s="60" t="s">
        <v>20</v>
      </c>
      <c r="C6" s="62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51"/>
      <c r="AK6" s="52">
        <f t="shared" ref="AK6:AK30" si="3">COUNTIF(C6:AJ6,"*")/COUNTIF($C$2:$AJ$3,"*")</f>
        <v>0</v>
      </c>
      <c r="AL6" s="3"/>
    </row>
    <row r="7" ht="37.5" customHeight="1">
      <c r="A7" s="21"/>
      <c r="B7" s="66" t="s">
        <v>23</v>
      </c>
      <c r="C7" s="67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71"/>
      <c r="AK7" s="64">
        <f t="shared" si="3"/>
        <v>0</v>
      </c>
      <c r="AL7" s="3"/>
    </row>
    <row r="8" ht="37.5" customHeight="1">
      <c r="A8" s="21"/>
      <c r="B8" s="66" t="s">
        <v>25</v>
      </c>
      <c r="C8" s="67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71"/>
      <c r="AK8" s="64">
        <f t="shared" si="3"/>
        <v>0</v>
      </c>
      <c r="AL8" s="3"/>
    </row>
    <row r="9" ht="37.5" customHeight="1">
      <c r="A9" s="21"/>
      <c r="B9" s="66" t="s">
        <v>26</v>
      </c>
      <c r="C9" s="67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71"/>
      <c r="AK9" s="64">
        <f t="shared" si="3"/>
        <v>0</v>
      </c>
      <c r="AL9" s="3"/>
    </row>
    <row r="10" ht="37.5" customHeight="1">
      <c r="A10" s="21"/>
      <c r="B10" s="66" t="s">
        <v>28</v>
      </c>
      <c r="C10" s="67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71"/>
      <c r="AK10" s="64">
        <f t="shared" si="3"/>
        <v>0</v>
      </c>
      <c r="AL10" s="3"/>
    </row>
    <row r="11" ht="37.5" customHeight="1">
      <c r="A11" s="21"/>
      <c r="B11" s="66" t="s">
        <v>30</v>
      </c>
      <c r="C11" s="67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71"/>
      <c r="AK11" s="64">
        <f t="shared" si="3"/>
        <v>0</v>
      </c>
      <c r="AL11" s="3"/>
    </row>
    <row r="12" ht="37.5" customHeight="1">
      <c r="A12" s="21"/>
      <c r="B12" s="76" t="s">
        <v>33</v>
      </c>
      <c r="C12" s="77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3"/>
      <c r="AK12" s="64">
        <f t="shared" si="3"/>
        <v>0</v>
      </c>
      <c r="AL12" s="3"/>
    </row>
    <row r="13" ht="37.5" customHeight="1">
      <c r="A13" s="79"/>
      <c r="B13" s="80" t="s">
        <v>36</v>
      </c>
      <c r="C13" s="81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3"/>
      <c r="AK13" s="74">
        <f t="shared" si="3"/>
        <v>0</v>
      </c>
      <c r="AL13" s="3"/>
    </row>
    <row r="14" ht="37.5" customHeight="1">
      <c r="A14" s="59" t="s">
        <v>38</v>
      </c>
      <c r="B14" s="60" t="s">
        <v>39</v>
      </c>
      <c r="C14" s="62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51"/>
      <c r="AK14" s="52">
        <f t="shared" si="3"/>
        <v>0</v>
      </c>
      <c r="AL14" s="3"/>
    </row>
    <row r="15" ht="37.5" customHeight="1">
      <c r="A15" s="21"/>
      <c r="B15" s="66" t="s">
        <v>41</v>
      </c>
      <c r="C15" s="67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71"/>
      <c r="AK15" s="64">
        <f t="shared" si="3"/>
        <v>0</v>
      </c>
      <c r="AL15" s="3"/>
    </row>
    <row r="16" ht="37.5" customHeight="1">
      <c r="A16" s="21"/>
      <c r="B16" s="66" t="s">
        <v>43</v>
      </c>
      <c r="C16" s="67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71"/>
      <c r="AK16" s="64">
        <f t="shared" si="3"/>
        <v>0</v>
      </c>
      <c r="AL16" s="3"/>
    </row>
    <row r="17" ht="37.5" customHeight="1">
      <c r="A17" s="21"/>
      <c r="B17" s="66" t="s">
        <v>45</v>
      </c>
      <c r="C17" s="67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71"/>
      <c r="AK17" s="64">
        <f t="shared" si="3"/>
        <v>0</v>
      </c>
      <c r="AL17" s="3"/>
    </row>
    <row r="18" ht="37.5" customHeight="1">
      <c r="A18" s="21"/>
      <c r="B18" s="66" t="s">
        <v>47</v>
      </c>
      <c r="C18" s="67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71"/>
      <c r="AK18" s="64">
        <f t="shared" si="3"/>
        <v>0</v>
      </c>
      <c r="AL18" s="3"/>
    </row>
    <row r="19" ht="37.5" customHeight="1">
      <c r="A19" s="21"/>
      <c r="B19" s="66" t="s">
        <v>49</v>
      </c>
      <c r="C19" s="67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71"/>
      <c r="AK19" s="64">
        <f t="shared" si="3"/>
        <v>0</v>
      </c>
      <c r="AL19" s="3"/>
    </row>
    <row r="20" ht="37.5" customHeight="1">
      <c r="A20" s="21"/>
      <c r="B20" s="76" t="s">
        <v>51</v>
      </c>
      <c r="C20" s="77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3"/>
      <c r="AK20" s="64">
        <f t="shared" si="3"/>
        <v>0</v>
      </c>
      <c r="AL20" s="87"/>
    </row>
    <row r="21" ht="40.5" customHeight="1">
      <c r="A21" s="79"/>
      <c r="B21" s="80" t="s">
        <v>53</v>
      </c>
      <c r="C21" s="81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3"/>
      <c r="AK21" s="74">
        <f t="shared" si="3"/>
        <v>0</v>
      </c>
      <c r="AL21" s="88"/>
    </row>
    <row r="22" ht="37.5" customHeight="1">
      <c r="A22" s="89" t="s">
        <v>55</v>
      </c>
      <c r="B22" s="90" t="s">
        <v>56</v>
      </c>
      <c r="C22" s="47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51"/>
      <c r="AK22" s="52">
        <f t="shared" si="3"/>
        <v>0</v>
      </c>
      <c r="AL22" s="88"/>
    </row>
    <row r="23" ht="37.5" customHeight="1">
      <c r="A23" s="91"/>
      <c r="B23" s="92" t="s">
        <v>58</v>
      </c>
      <c r="C23" s="55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71"/>
      <c r="AK23" s="64">
        <f t="shared" si="3"/>
        <v>0</v>
      </c>
      <c r="AL23" s="88"/>
    </row>
    <row r="24" ht="37.5" customHeight="1">
      <c r="A24" s="91"/>
      <c r="B24" s="92" t="s">
        <v>60</v>
      </c>
      <c r="C24" s="55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71"/>
      <c r="AK24" s="64">
        <f t="shared" si="3"/>
        <v>0</v>
      </c>
      <c r="AL24" s="88"/>
    </row>
    <row r="25" ht="37.5" customHeight="1">
      <c r="A25" s="91"/>
      <c r="B25" s="92" t="s">
        <v>61</v>
      </c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71"/>
      <c r="AK25" s="64">
        <f t="shared" si="3"/>
        <v>0</v>
      </c>
      <c r="AL25" s="88"/>
    </row>
    <row r="26" ht="37.5" customHeight="1">
      <c r="A26" s="91"/>
      <c r="B26" s="92" t="s">
        <v>63</v>
      </c>
      <c r="C26" s="55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71"/>
      <c r="AK26" s="64">
        <f t="shared" si="3"/>
        <v>0</v>
      </c>
      <c r="AL26" s="88"/>
    </row>
    <row r="27" ht="37.5" customHeight="1">
      <c r="A27" s="91"/>
      <c r="B27" s="92" t="s">
        <v>66</v>
      </c>
      <c r="C27" s="55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71"/>
      <c r="AK27" s="64">
        <f t="shared" si="3"/>
        <v>0</v>
      </c>
      <c r="AL27" s="88"/>
    </row>
    <row r="28" ht="37.5" customHeight="1">
      <c r="A28" s="91"/>
      <c r="B28" s="92" t="s">
        <v>67</v>
      </c>
      <c r="C28" s="55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71"/>
      <c r="AK28" s="64">
        <f t="shared" si="3"/>
        <v>0</v>
      </c>
      <c r="AL28" s="88"/>
    </row>
    <row r="29" ht="39.75" customHeight="1">
      <c r="A29" s="91"/>
      <c r="B29" s="96" t="s">
        <v>69</v>
      </c>
      <c r="C29" s="83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3"/>
      <c r="AK29" s="64">
        <f t="shared" si="3"/>
        <v>0</v>
      </c>
      <c r="AL29" s="88"/>
    </row>
    <row r="30" ht="37.5" customHeight="1">
      <c r="A30" s="98"/>
      <c r="B30" s="99" t="s">
        <v>70</v>
      </c>
      <c r="C30" s="70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3"/>
      <c r="AK30" s="74">
        <f t="shared" si="3"/>
        <v>0</v>
      </c>
      <c r="AL30" s="88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88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88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88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mergeCells count="42">
    <mergeCell ref="T2:T3"/>
    <mergeCell ref="U2:U3"/>
    <mergeCell ref="V2:V3"/>
    <mergeCell ref="W2:W3"/>
    <mergeCell ref="X2:X3"/>
    <mergeCell ref="Y2:Y3"/>
    <mergeCell ref="Z2:Z3"/>
    <mergeCell ref="AH2:AH3"/>
    <mergeCell ref="AI2:AI3"/>
    <mergeCell ref="AJ2:AJ3"/>
    <mergeCell ref="AA2:AA3"/>
    <mergeCell ref="AB2:AB3"/>
    <mergeCell ref="AC2:AC3"/>
    <mergeCell ref="AD2:AD3"/>
    <mergeCell ref="AE2:AE3"/>
    <mergeCell ref="AF2:AF3"/>
    <mergeCell ref="AG2:A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A3:B3"/>
    <mergeCell ref="A4:B4"/>
    <mergeCell ref="A5:B5"/>
    <mergeCell ref="A6:A13"/>
    <mergeCell ref="A14:A21"/>
    <mergeCell ref="A22:A30"/>
    <mergeCell ref="A1:T1"/>
    <mergeCell ref="A2:B2"/>
    <mergeCell ref="C2:C3"/>
    <mergeCell ref="D2:D3"/>
    <mergeCell ref="E2:E3"/>
    <mergeCell ref="F2:F3"/>
    <mergeCell ref="G2:G3"/>
  </mergeCells>
  <printOptions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8.57"/>
    <col customWidth="1" min="3" max="36" width="6.14"/>
    <col customWidth="1" min="37" max="38" width="9.14"/>
  </cols>
  <sheetData>
    <row r="1" ht="30.0" customHeight="1">
      <c r="A1" s="4" t="str">
        <f>'Assessment 1'!A1</f>
        <v>End of Unit Assessment | Computing | Year 4 | Online Safety</v>
      </c>
      <c r="AK1" s="3"/>
      <c r="AL1" s="3"/>
    </row>
    <row r="2" ht="21.0" customHeight="1">
      <c r="A2" s="6"/>
      <c r="B2" s="7" t="s">
        <v>1</v>
      </c>
      <c r="C2" s="9" t="s">
        <v>3</v>
      </c>
      <c r="D2" s="10"/>
      <c r="E2" s="10"/>
      <c r="F2" s="10"/>
      <c r="G2" s="1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3" t="s">
        <v>7</v>
      </c>
      <c r="AK2" s="3"/>
      <c r="AL2" s="3"/>
    </row>
    <row r="3" ht="114.0" customHeight="1">
      <c r="A3" s="18"/>
      <c r="B3" s="20"/>
      <c r="C3" s="17" t="s">
        <v>11</v>
      </c>
      <c r="D3" s="19" t="s">
        <v>11</v>
      </c>
      <c r="E3" s="19" t="s">
        <v>11</v>
      </c>
      <c r="F3" s="19" t="s">
        <v>11</v>
      </c>
      <c r="G3" s="19" t="s">
        <v>11</v>
      </c>
      <c r="H3" s="19" t="s">
        <v>11</v>
      </c>
      <c r="I3" s="19" t="s">
        <v>11</v>
      </c>
      <c r="J3" s="19" t="s">
        <v>11</v>
      </c>
      <c r="K3" s="19" t="s">
        <v>11</v>
      </c>
      <c r="L3" s="19" t="s">
        <v>11</v>
      </c>
      <c r="M3" s="19" t="s">
        <v>11</v>
      </c>
      <c r="N3" s="19" t="s">
        <v>11</v>
      </c>
      <c r="O3" s="19" t="s">
        <v>11</v>
      </c>
      <c r="P3" s="19" t="s">
        <v>11</v>
      </c>
      <c r="Q3" s="19" t="s">
        <v>11</v>
      </c>
      <c r="R3" s="19" t="s">
        <v>11</v>
      </c>
      <c r="S3" s="19" t="s">
        <v>11</v>
      </c>
      <c r="T3" s="19" t="s">
        <v>11</v>
      </c>
      <c r="U3" s="19" t="s">
        <v>11</v>
      </c>
      <c r="V3" s="19" t="s">
        <v>11</v>
      </c>
      <c r="W3" s="19" t="s">
        <v>11</v>
      </c>
      <c r="X3" s="19" t="s">
        <v>11</v>
      </c>
      <c r="Y3" s="19" t="s">
        <v>11</v>
      </c>
      <c r="Z3" s="19" t="s">
        <v>11</v>
      </c>
      <c r="AA3" s="19" t="s">
        <v>11</v>
      </c>
      <c r="AB3" s="19" t="s">
        <v>11</v>
      </c>
      <c r="AC3" s="19" t="s">
        <v>11</v>
      </c>
      <c r="AD3" s="19" t="s">
        <v>11</v>
      </c>
      <c r="AE3" s="19" t="s">
        <v>11</v>
      </c>
      <c r="AF3" s="19" t="s">
        <v>11</v>
      </c>
      <c r="AG3" s="19" t="s">
        <v>11</v>
      </c>
      <c r="AH3" s="19" t="s">
        <v>11</v>
      </c>
      <c r="AI3" s="19" t="s">
        <v>11</v>
      </c>
      <c r="AJ3" s="24" t="s">
        <v>11</v>
      </c>
      <c r="AK3" s="3"/>
      <c r="AL3" s="3"/>
    </row>
    <row r="4" ht="56.25" customHeight="1">
      <c r="A4" s="16"/>
      <c r="B4" s="25"/>
      <c r="C4" s="2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9"/>
      <c r="AK4" s="3"/>
      <c r="AL4" s="30"/>
    </row>
    <row r="5" ht="21.0" customHeight="1">
      <c r="A5" s="16"/>
      <c r="B5" s="33" t="s">
        <v>15</v>
      </c>
      <c r="C5" s="36">
        <f t="shared" ref="C5:AJ5" si="1">COUNTIF(C6:C31,"*")/COUNTIF($B$6:$B$31,"*")</f>
        <v>0</v>
      </c>
      <c r="D5" s="36">
        <f t="shared" si="1"/>
        <v>0</v>
      </c>
      <c r="E5" s="36">
        <f t="shared" si="1"/>
        <v>0</v>
      </c>
      <c r="F5" s="36">
        <f t="shared" si="1"/>
        <v>0</v>
      </c>
      <c r="G5" s="36">
        <f t="shared" si="1"/>
        <v>0</v>
      </c>
      <c r="H5" s="36">
        <f t="shared" si="1"/>
        <v>0</v>
      </c>
      <c r="I5" s="36">
        <f t="shared" si="1"/>
        <v>0</v>
      </c>
      <c r="J5" s="36">
        <f t="shared" si="1"/>
        <v>0</v>
      </c>
      <c r="K5" s="36">
        <f t="shared" si="1"/>
        <v>0</v>
      </c>
      <c r="L5" s="36">
        <f t="shared" si="1"/>
        <v>0</v>
      </c>
      <c r="M5" s="36">
        <f t="shared" si="1"/>
        <v>0</v>
      </c>
      <c r="N5" s="36">
        <f t="shared" si="1"/>
        <v>0</v>
      </c>
      <c r="O5" s="36">
        <f t="shared" si="1"/>
        <v>0</v>
      </c>
      <c r="P5" s="36">
        <f t="shared" si="1"/>
        <v>0</v>
      </c>
      <c r="Q5" s="36">
        <f t="shared" si="1"/>
        <v>0</v>
      </c>
      <c r="R5" s="36">
        <f t="shared" si="1"/>
        <v>0</v>
      </c>
      <c r="S5" s="36">
        <f t="shared" si="1"/>
        <v>0</v>
      </c>
      <c r="T5" s="36">
        <f t="shared" si="1"/>
        <v>0</v>
      </c>
      <c r="U5" s="36">
        <f t="shared" si="1"/>
        <v>0</v>
      </c>
      <c r="V5" s="36">
        <f t="shared" si="1"/>
        <v>0</v>
      </c>
      <c r="W5" s="36">
        <f t="shared" si="1"/>
        <v>0</v>
      </c>
      <c r="X5" s="36">
        <f t="shared" si="1"/>
        <v>0</v>
      </c>
      <c r="Y5" s="36">
        <f t="shared" si="1"/>
        <v>0</v>
      </c>
      <c r="Z5" s="36">
        <f t="shared" si="1"/>
        <v>0</v>
      </c>
      <c r="AA5" s="36">
        <f t="shared" si="1"/>
        <v>0</v>
      </c>
      <c r="AB5" s="36">
        <f t="shared" si="1"/>
        <v>0</v>
      </c>
      <c r="AC5" s="36">
        <f t="shared" si="1"/>
        <v>0</v>
      </c>
      <c r="AD5" s="36">
        <f t="shared" si="1"/>
        <v>0</v>
      </c>
      <c r="AE5" s="36">
        <f t="shared" si="1"/>
        <v>0</v>
      </c>
      <c r="AF5" s="36">
        <f t="shared" si="1"/>
        <v>0</v>
      </c>
      <c r="AG5" s="36">
        <f t="shared" si="1"/>
        <v>0</v>
      </c>
      <c r="AH5" s="36">
        <f t="shared" si="1"/>
        <v>0</v>
      </c>
      <c r="AI5" s="36">
        <f t="shared" si="1"/>
        <v>0</v>
      </c>
      <c r="AJ5" s="40">
        <f t="shared" si="1"/>
        <v>0</v>
      </c>
      <c r="AK5" s="3"/>
      <c r="AL5" s="41"/>
    </row>
    <row r="6" ht="66.0" customHeight="1">
      <c r="A6" s="43">
        <v>1.0</v>
      </c>
      <c r="B6" s="45" t="s">
        <v>16</v>
      </c>
      <c r="C6" s="47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51"/>
      <c r="AK6" s="52">
        <f t="shared" ref="AK6:AK30" si="2">COUNTIF(C6:AJ6,"*")/COUNTIF($C$3:$AJ$4,"*")</f>
        <v>0</v>
      </c>
      <c r="AL6" s="3"/>
    </row>
    <row r="7" ht="51.0" customHeight="1">
      <c r="A7" s="53"/>
      <c r="B7" s="54" t="s">
        <v>18</v>
      </c>
      <c r="C7" s="55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61"/>
      <c r="AJ7" s="63"/>
      <c r="AK7" s="64">
        <f t="shared" si="2"/>
        <v>0</v>
      </c>
      <c r="AL7" s="3"/>
    </row>
    <row r="8" ht="51.0" customHeight="1">
      <c r="A8" s="53"/>
      <c r="B8" s="54" t="s">
        <v>21</v>
      </c>
      <c r="C8" s="55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61"/>
      <c r="AJ8" s="63"/>
      <c r="AK8" s="64">
        <f t="shared" si="2"/>
        <v>0</v>
      </c>
      <c r="AL8" s="3"/>
    </row>
    <row r="9" ht="66.0" customHeight="1">
      <c r="A9" s="53"/>
      <c r="B9" s="65" t="s">
        <v>22</v>
      </c>
      <c r="C9" s="55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61"/>
      <c r="AJ9" s="63"/>
      <c r="AK9" s="64">
        <f t="shared" si="2"/>
        <v>0</v>
      </c>
      <c r="AL9" s="3"/>
    </row>
    <row r="10" ht="51.0" customHeight="1">
      <c r="A10" s="68"/>
      <c r="B10" s="69" t="s">
        <v>24</v>
      </c>
      <c r="C10" s="70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3"/>
      <c r="AK10" s="74">
        <f t="shared" si="2"/>
        <v>0</v>
      </c>
      <c r="AL10" s="75"/>
    </row>
    <row r="11" ht="66.0" customHeight="1">
      <c r="A11" s="43">
        <v>2.0</v>
      </c>
      <c r="B11" s="45" t="s">
        <v>27</v>
      </c>
      <c r="C11" s="47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51"/>
      <c r="AK11" s="52">
        <f t="shared" si="2"/>
        <v>0</v>
      </c>
      <c r="AL11" s="75"/>
    </row>
    <row r="12" ht="51.0" customHeight="1">
      <c r="A12" s="53"/>
      <c r="B12" s="54" t="s">
        <v>29</v>
      </c>
      <c r="C12" s="55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61"/>
      <c r="AJ12" s="63"/>
      <c r="AK12" s="64">
        <f t="shared" si="2"/>
        <v>0</v>
      </c>
      <c r="AL12" s="75"/>
    </row>
    <row r="13" ht="51.0" customHeight="1">
      <c r="A13" s="53"/>
      <c r="B13" s="54" t="s">
        <v>31</v>
      </c>
      <c r="C13" s="55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61"/>
      <c r="AJ13" s="63"/>
      <c r="AK13" s="64">
        <f t="shared" si="2"/>
        <v>0</v>
      </c>
      <c r="AL13" s="75"/>
    </row>
    <row r="14" ht="51.0" customHeight="1">
      <c r="A14" s="68"/>
      <c r="B14" s="69" t="s">
        <v>32</v>
      </c>
      <c r="C14" s="70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3"/>
      <c r="AK14" s="74">
        <f t="shared" si="2"/>
        <v>0</v>
      </c>
      <c r="AL14" s="78" t="s">
        <v>34</v>
      </c>
    </row>
    <row r="15" ht="66.0" customHeight="1">
      <c r="A15" s="43">
        <v>3.0</v>
      </c>
      <c r="B15" s="45" t="s">
        <v>35</v>
      </c>
      <c r="C15" s="47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51"/>
      <c r="AK15" s="52">
        <f t="shared" si="2"/>
        <v>0</v>
      </c>
      <c r="AL15" s="3"/>
    </row>
    <row r="16" ht="51.0" customHeight="1">
      <c r="A16" s="53"/>
      <c r="B16" s="54" t="s">
        <v>37</v>
      </c>
      <c r="C16" s="55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61"/>
      <c r="AJ16" s="63"/>
      <c r="AK16" s="64">
        <f t="shared" si="2"/>
        <v>0</v>
      </c>
      <c r="AL16" s="3"/>
    </row>
    <row r="17" ht="51.0" customHeight="1">
      <c r="A17" s="53"/>
      <c r="B17" s="54" t="s">
        <v>40</v>
      </c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61"/>
      <c r="AJ17" s="63"/>
      <c r="AK17" s="64">
        <f t="shared" si="2"/>
        <v>0</v>
      </c>
      <c r="AL17" s="3"/>
    </row>
    <row r="18" ht="51.0" customHeight="1">
      <c r="A18" s="53"/>
      <c r="B18" s="54" t="s">
        <v>42</v>
      </c>
      <c r="C18" s="83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3"/>
      <c r="AK18" s="64">
        <f t="shared" si="2"/>
        <v>0</v>
      </c>
      <c r="AL18" s="3"/>
    </row>
    <row r="19" ht="51.0" customHeight="1">
      <c r="A19" s="68"/>
      <c r="B19" s="69" t="s">
        <v>44</v>
      </c>
      <c r="C19" s="70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3"/>
      <c r="AK19" s="74">
        <f t="shared" si="2"/>
        <v>0</v>
      </c>
      <c r="AL19" s="3"/>
    </row>
    <row r="20" ht="66.0" customHeight="1">
      <c r="A20" s="43">
        <v>4.0</v>
      </c>
      <c r="B20" s="45" t="s">
        <v>46</v>
      </c>
      <c r="C20" s="47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51"/>
      <c r="AK20" s="52">
        <f t="shared" si="2"/>
        <v>0</v>
      </c>
      <c r="AL20" s="3"/>
    </row>
    <row r="21" ht="51.0" customHeight="1">
      <c r="A21" s="53"/>
      <c r="B21" s="54" t="s">
        <v>48</v>
      </c>
      <c r="C21" s="83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3"/>
      <c r="AK21" s="64">
        <f t="shared" si="2"/>
        <v>0</v>
      </c>
      <c r="AL21" s="3"/>
    </row>
    <row r="22" ht="51.0" customHeight="1">
      <c r="A22" s="53"/>
      <c r="B22" s="84" t="s">
        <v>50</v>
      </c>
      <c r="C22" s="85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61"/>
      <c r="AJ22" s="63"/>
      <c r="AK22" s="64">
        <f t="shared" si="2"/>
        <v>0</v>
      </c>
      <c r="AL22" s="3"/>
    </row>
    <row r="23" ht="51.0" customHeight="1">
      <c r="A23" s="68"/>
      <c r="B23" s="69" t="s">
        <v>52</v>
      </c>
      <c r="C23" s="70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3"/>
      <c r="AK23" s="74">
        <f t="shared" si="2"/>
        <v>0</v>
      </c>
      <c r="AL23" s="3"/>
    </row>
    <row r="24" ht="66.0" customHeight="1">
      <c r="A24" s="43">
        <v>5.0</v>
      </c>
      <c r="B24" s="45" t="s">
        <v>54</v>
      </c>
      <c r="C24" s="47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51"/>
      <c r="AK24" s="52">
        <f t="shared" si="2"/>
        <v>0</v>
      </c>
      <c r="AL24" s="3"/>
    </row>
    <row r="25" ht="45.0" customHeight="1">
      <c r="A25" s="53"/>
      <c r="B25" s="54" t="s">
        <v>57</v>
      </c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61"/>
      <c r="AJ25" s="63"/>
      <c r="AK25" s="64">
        <f t="shared" si="2"/>
        <v>0</v>
      </c>
      <c r="AL25" s="3"/>
    </row>
    <row r="26" ht="45.0" customHeight="1">
      <c r="A26" s="68"/>
      <c r="B26" s="69" t="s">
        <v>59</v>
      </c>
      <c r="C26" s="70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3"/>
      <c r="AK26" s="74">
        <f t="shared" si="2"/>
        <v>0</v>
      </c>
      <c r="AL26" s="3"/>
    </row>
    <row r="27" ht="66.0" customHeight="1">
      <c r="A27" s="43">
        <v>6.0</v>
      </c>
      <c r="B27" s="45" t="s">
        <v>62</v>
      </c>
      <c r="C27" s="47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51"/>
      <c r="AK27" s="52">
        <f t="shared" si="2"/>
        <v>0</v>
      </c>
      <c r="AL27" s="3"/>
    </row>
    <row r="28" ht="51.0" customHeight="1">
      <c r="A28" s="53"/>
      <c r="B28" s="54" t="s">
        <v>64</v>
      </c>
      <c r="C28" s="55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61"/>
      <c r="AJ28" s="63"/>
      <c r="AK28" s="64">
        <f t="shared" si="2"/>
        <v>0</v>
      </c>
      <c r="AL28" s="3"/>
    </row>
    <row r="29" ht="51.0" customHeight="1">
      <c r="A29" s="53"/>
      <c r="B29" s="54" t="s">
        <v>65</v>
      </c>
      <c r="C29" s="55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61"/>
      <c r="AJ29" s="63"/>
      <c r="AK29" s="64">
        <f t="shared" si="2"/>
        <v>0</v>
      </c>
      <c r="AL29" s="3"/>
    </row>
    <row r="30" ht="51.0" customHeight="1">
      <c r="A30" s="93"/>
      <c r="B30" s="69" t="s">
        <v>68</v>
      </c>
      <c r="C30" s="94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7"/>
      <c r="AK30" s="74">
        <f t="shared" si="2"/>
        <v>0</v>
      </c>
      <c r="AL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mergeCells count="37"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I3:AI4"/>
    <mergeCell ref="AJ3:AJ4"/>
    <mergeCell ref="A1:AJ1"/>
    <mergeCell ref="C2:G2"/>
    <mergeCell ref="A3:A5"/>
    <mergeCell ref="C3:C4"/>
    <mergeCell ref="D3:D4"/>
    <mergeCell ref="E3:E4"/>
    <mergeCell ref="F3:F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</mergeCells>
  <conditionalFormatting sqref="C6:AJ30">
    <cfRule type="cellIs" dxfId="0" priority="1" operator="equal">
      <formula>"*"</formula>
    </cfRule>
  </conditionalFormatting>
  <printOptions/>
  <pageMargins bottom="0.75" footer="0.0" header="0.0" left="0.7" right="0.7" top="0.75"/>
  <pageSetup paperSize="9" scale="3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6" width="9.14"/>
    <col customWidth="1" min="7" max="26" width="8.71"/>
  </cols>
  <sheetData>
    <row r="1" ht="30.0" customHeight="1">
      <c r="A1" s="4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6.25" customHeight="1">
      <c r="A3" s="22" t="s">
        <v>12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6.25" customHeight="1">
      <c r="A4" s="22" t="s">
        <v>13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6.25" customHeight="1">
      <c r="A5" s="2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6.25" customHeight="1">
      <c r="A6" s="2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6.25" customHeight="1">
      <c r="A7" s="2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6.25" customHeight="1">
      <c r="A8" s="2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6.25" customHeight="1">
      <c r="A9" s="2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6.25" customHeight="1">
      <c r="A10" s="2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6.25" customHeight="1">
      <c r="A11" s="2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6.25" customHeight="1">
      <c r="A12" s="2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6.25" customHeight="1">
      <c r="A13" s="2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6.25" customHeight="1">
      <c r="A14" s="2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6.25" customHeight="1">
      <c r="A15" s="2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2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2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2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2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2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2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2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2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2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2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2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2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2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2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2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2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2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2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2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2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2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2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2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2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2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2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2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2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2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2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2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2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2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2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2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2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2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2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2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2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2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2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2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2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2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2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2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2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2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2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2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2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2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2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2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2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