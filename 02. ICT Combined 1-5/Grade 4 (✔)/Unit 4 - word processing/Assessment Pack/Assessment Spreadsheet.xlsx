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sessment 1" sheetId="1" r:id="rId5"/>
    <sheet state="visible" name=" Assessment 2" sheetId="2" r:id="rId6"/>
    <sheet state="visible" name="Assessment 3" sheetId="3" r:id="rId7"/>
    <sheet state="visible" name="Assessment 4" sheetId="4" r:id="rId8"/>
  </sheets>
  <definedNames/>
  <calcPr/>
</workbook>
</file>

<file path=xl/sharedStrings.xml><?xml version="1.0" encoding="utf-8"?>
<sst xmlns="http://schemas.openxmlformats.org/spreadsheetml/2006/main" count="151" uniqueCount="67">
  <si>
    <t>End of Unit Assessment | Computing | Year 4 | Word Processing</t>
  </si>
  <si>
    <t>NC Aims Covered in the Name of Unit</t>
  </si>
  <si>
    <t xml:space="preserve">All  </t>
  </si>
  <si>
    <t>Lesson Aim</t>
  </si>
  <si>
    <t xml:space="preserve">Most  </t>
  </si>
  <si>
    <t xml:space="preserve">Some  </t>
  </si>
  <si>
    <t>*Insert a character against the criteria the child has met. If they have not met the criteria leave it blank.*</t>
  </si>
  <si>
    <t>Success Criteria</t>
  </si>
  <si>
    <t xml:space="preserve">Select, edit and manipulate text in different ways, insert an image into a document, format an image, use formatting tools to improve the layout, use the spellcheck tool, insert a simple table, change the size of the page.
</t>
  </si>
  <si>
    <t>Select, use and combine a variety of software on a range of digital devices
to design a range of programs, systems and content that accomplish specific goals.</t>
  </si>
  <si>
    <t>Name</t>
  </si>
  <si>
    <t xml:space="preserve">
</t>
  </si>
  <si>
    <t xml:space="preserve">Use some of the main keyboard shortcuts, suggest ways to improve a layout, apply specific effects to an image, add a spelling to the spelling dictionary, add or delete rows or columns in a table, suggest ways to change a table, type at an appropriate speed, choose a relevant website to link a document to, create a hyperlink.
</t>
  </si>
  <si>
    <t>Change a homophone that is in the incorrect form, format the borders of the cells within a table, apply their knowledge of tools and techniques to improve the layout of a document, change the background colour of the page, format a hyperlink and find an appropriate place to insert it.</t>
  </si>
  <si>
    <t>Select, use and combine a variety of software on a range of digital
devices to design a range of programs, systems and content that accomplish specific goals.</t>
  </si>
  <si>
    <t>Select, use and combine a variety of software on a range of digital
devices to design a range of programs, systems and content that accomplish specific goals</t>
  </si>
  <si>
    <t>Select, use and combine a variety of software on a range of digital devices to design a range of programs, systems and content that accomplish specific goals</t>
  </si>
  <si>
    <t>% of class</t>
  </si>
  <si>
    <t>% met by child</t>
  </si>
  <si>
    <t>Has the child met the all and most statements?</t>
  </si>
  <si>
    <t>All</t>
  </si>
  <si>
    <t>Select, edit and manipulate text in different ways.</t>
  </si>
  <si>
    <t>Insert an image into a document.</t>
  </si>
  <si>
    <t>I can format images for a purpose.</t>
  </si>
  <si>
    <t>Format an image.</t>
  </si>
  <si>
    <t>Use formatting tools to improve the layout.</t>
  </si>
  <si>
    <t>Use the spellcheck tool.</t>
  </si>
  <si>
    <t>I can select, edit and manipulate text indifferent ways.</t>
  </si>
  <si>
    <t>Insert a simple table.</t>
  </si>
  <si>
    <t>I can insert images onto a document.</t>
  </si>
  <si>
    <t>Change the size of the page.</t>
  </si>
  <si>
    <t>Most</t>
  </si>
  <si>
    <t>I can format images to achieve various effects.</t>
  </si>
  <si>
    <t>Use some of the main keyboard shortcuts.</t>
  </si>
  <si>
    <t>Suggest ways to improve a layout.</t>
  </si>
  <si>
    <t>Apply specific effects to an image.</t>
  </si>
  <si>
    <t>I can use formatting tools to create an effective layout.</t>
  </si>
  <si>
    <t>Add a spelling to the spelling dictionary.</t>
  </si>
  <si>
    <t>Add or delete rows or columns in a table.</t>
  </si>
  <si>
    <t>I know some of the main keyboard shortcuts.</t>
  </si>
  <si>
    <t>Suggest ways to change a table.</t>
  </si>
  <si>
    <t>I can select, edit and manipulate text in various ways.</t>
  </si>
  <si>
    <t>Type at an appropriate speed.</t>
  </si>
  <si>
    <t>Choose a relevant website to link a document to.</t>
  </si>
  <si>
    <t>I can use the spellcheck tool.</t>
  </si>
  <si>
    <t>Create a hyperlink.</t>
  </si>
  <si>
    <t>Some</t>
  </si>
  <si>
    <t>Change a homophone that is in the incorrect form.</t>
  </si>
  <si>
    <t>I can find and use the different functions of the spellcheck tool.</t>
  </si>
  <si>
    <t>Format the borders of the cells within a table.</t>
  </si>
  <si>
    <t>Apply their knowledge of tools and techniques to improve the layout of a document.</t>
  </si>
  <si>
    <t>I can add a spelling to the spelling dictionary.</t>
  </si>
  <si>
    <t>Change the background colour of the page.</t>
  </si>
  <si>
    <t>I can insert and format a table in a word processing document.</t>
  </si>
  <si>
    <t>Format a hyperlink and find an appropriate place to insert it.</t>
  </si>
  <si>
    <t>I can insert a simple table.</t>
  </si>
  <si>
    <t>I can add and delete rows and columns.</t>
  </si>
  <si>
    <t>I can format the borders of the cells within a table.</t>
  </si>
  <si>
    <t>I can suggest ways to change a table.</t>
  </si>
  <si>
    <t>I can change a page layout for a purpose.</t>
  </si>
  <si>
    <t>I can change the orientation of the page.</t>
  </si>
  <si>
    <t>I can change the size of the page.</t>
  </si>
  <si>
    <t>I can change the layout by using the
column tool.</t>
  </si>
  <si>
    <t>I can create hyperlinks within a word document.</t>
  </si>
  <si>
    <t>I can choose a relevant website to link my document to.</t>
  </si>
  <si>
    <t>I can copy the URL that I need.</t>
  </si>
  <si>
    <t>I can format my hyperlink and find an appropriate place to insert it.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</si>
</sst>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1.0"/>
      <color theme="1"/>
      <name val="Calibri"/>
      <scheme val="minor"/>
    </font>
    <font>
      <b/>
      <sz val="18.0"/>
      <color theme="1"/>
      <name val="Arial"/>
    </font>
    <font>
      <sz val="11.0"/>
      <color theme="1"/>
      <name val="Arial"/>
    </font>
    <font>
      <b/>
      <sz val="11.0"/>
      <color rgb="FFFF0000"/>
      <name val="Arial"/>
    </font>
    <font/>
    <font>
      <b/>
      <sz val="14.0"/>
      <color theme="0"/>
      <name val="Arial"/>
    </font>
    <font>
      <b/>
      <sz val="11.0"/>
      <color theme="1"/>
      <name val="Arial"/>
    </font>
    <font>
      <i/>
      <sz val="11.0"/>
      <color theme="1"/>
      <name val="Arial"/>
    </font>
    <font>
      <sz val="11.0"/>
      <color rgb="FFDC205A"/>
      <name val="Arial"/>
    </font>
    <font>
      <sz val="10.0"/>
      <color rgb="FF3F3F3F"/>
      <name val="Arial"/>
    </font>
    <font>
      <sz val="11.0"/>
      <color rgb="FF3A3838"/>
      <name val="Arial"/>
    </font>
    <font>
      <b/>
      <sz val="11.0"/>
      <color theme="0"/>
      <name val="Arial"/>
    </font>
    <font>
      <sz val="11.0"/>
      <color rgb="FF3F3F3F"/>
      <name val="Arial"/>
    </font>
    <font>
      <sz val="9.0"/>
      <color theme="1"/>
      <name val="Arial"/>
    </font>
    <font>
      <sz val="9.0"/>
      <color rgb="FF3A3838"/>
      <name val="Arial"/>
    </font>
    <font>
      <sz val="10.0"/>
      <color rgb="FF3A3838"/>
      <name val="Arial"/>
    </font>
    <font>
      <sz val="10.0"/>
      <color theme="1"/>
      <name val="Arial"/>
    </font>
    <font>
      <i/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538AC2"/>
        <bgColor rgb="FF538AC2"/>
      </patternFill>
    </fill>
    <fill>
      <patternFill patternType="solid">
        <fgColor rgb="FFF2F2F2"/>
        <bgColor rgb="FFF2F2F2"/>
      </patternFill>
    </fill>
  </fills>
  <borders count="60">
    <border/>
    <border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/>
      <right/>
      <top/>
      <bottom/>
    </border>
    <border>
      <left/>
      <top/>
      <bottom/>
    </border>
    <border>
      <right style="medium">
        <color rgb="FF000000"/>
      </right>
    </border>
    <border>
      <top/>
      <bottom/>
    </border>
    <border>
      <right/>
      <top/>
      <bottom/>
    </border>
    <border>
      <left style="medium">
        <color rgb="FF000000"/>
      </left>
      <right style="medium">
        <color rgb="FF000000"/>
      </right>
      <top/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/>
    </border>
    <border>
      <left style="medium">
        <color rgb="FF000000"/>
      </left>
      <right style="medium">
        <color rgb="FF000000"/>
      </right>
      <top/>
      <bottom/>
    </border>
    <border>
      <right style="medium">
        <color rgb="FF000000"/>
      </right>
      <top style="medium">
        <color rgb="FF000000"/>
      </top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/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/>
      <top style="thin">
        <color rgb="FF000000"/>
      </top>
      <bottom style="medium">
        <color rgb="FF000000"/>
      </bottom>
    </border>
    <border>
      <left/>
      <right/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bottom style="medium">
        <color rgb="FF000000"/>
      </bottom>
    </border>
  </borders>
  <cellStyleXfs count="1">
    <xf borderId="0" fillId="0" fontId="0" numFmtId="0" applyAlignment="1" applyFont="1"/>
  </cellStyleXfs>
  <cellXfs count="10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1" fillId="0" fontId="1" numFmtId="0" xfId="0" applyAlignment="1" applyBorder="1" applyFont="1">
      <alignment horizontal="left" vertical="center"/>
    </xf>
    <xf borderId="0" fillId="0" fontId="2" numFmtId="0" xfId="0" applyFont="1"/>
    <xf borderId="0" fillId="0" fontId="3" numFmtId="0" xfId="0" applyAlignment="1" applyFont="1">
      <alignment shrinkToFit="0" wrapText="1"/>
    </xf>
    <xf borderId="1" fillId="0" fontId="4" numFmtId="0" xfId="0" applyBorder="1" applyFont="1"/>
    <xf borderId="1" fillId="0" fontId="1" numFmtId="0" xfId="0" applyAlignment="1" applyBorder="1" applyFont="1">
      <alignment vertical="center"/>
    </xf>
    <xf borderId="0" fillId="0" fontId="2" numFmtId="0" xfId="0" applyAlignment="1" applyFont="1">
      <alignment vertical="center"/>
    </xf>
    <xf borderId="2" fillId="2" fontId="5" numFmtId="0" xfId="0" applyAlignment="1" applyBorder="1" applyFill="1" applyFont="1">
      <alignment horizontal="center" vertical="center"/>
    </xf>
    <xf borderId="0" fillId="0" fontId="6" numFmtId="0" xfId="0" applyAlignment="1" applyFont="1">
      <alignment shrinkToFit="0" wrapText="1"/>
    </xf>
    <xf borderId="0" fillId="0" fontId="6" numFmtId="0" xfId="0" applyAlignment="1" applyFont="1">
      <alignment shrinkToFit="0" vertical="top" wrapText="1"/>
    </xf>
    <xf borderId="0" fillId="0" fontId="2" numFmtId="0" xfId="0" applyAlignment="1" applyFont="1">
      <alignment horizontal="left" shrinkToFit="0" vertical="top" wrapText="1"/>
    </xf>
    <xf borderId="3" fillId="2" fontId="2" numFmtId="0" xfId="0" applyAlignment="1" applyBorder="1" applyFill="1" applyFont="1">
      <alignment vertical="center"/>
    </xf>
    <xf borderId="0" fillId="0" fontId="7" numFmtId="0" xfId="0" applyAlignment="1" applyFont="1">
      <alignment horizontal="right" vertical="center"/>
    </xf>
    <xf borderId="0" fillId="0" fontId="1" numFmtId="9" xfId="0" applyAlignment="1" applyFont="1" applyNumberFormat="1">
      <alignment horizontal="center" shrinkToFit="0" wrapText="1"/>
    </xf>
    <xf borderId="4" fillId="3" fontId="7" numFmtId="0" xfId="0" applyAlignment="1" applyBorder="1" applyFill="1" applyFont="1">
      <alignment horizontal="center" vertical="center"/>
    </xf>
    <xf borderId="5" fillId="0" fontId="4" numFmtId="0" xfId="0" applyBorder="1" applyFont="1"/>
    <xf borderId="6" fillId="0" fontId="4" numFmtId="0" xfId="0" applyBorder="1" applyFont="1"/>
    <xf borderId="0" fillId="0" fontId="8" numFmtId="0" xfId="0" applyAlignment="1" applyFont="1">
      <alignment shrinkToFit="0" vertical="center" wrapText="1"/>
    </xf>
    <xf borderId="7" fillId="0" fontId="4" numFmtId="0" xfId="0" applyBorder="1" applyFont="1"/>
    <xf borderId="8" fillId="3" fontId="9" numFmtId="0" xfId="0" applyAlignment="1" applyBorder="1" applyFill="1" applyFont="1">
      <alignment horizontal="left" shrinkToFit="0" vertical="top" wrapText="1"/>
    </xf>
    <xf borderId="9" fillId="0" fontId="10" numFmtId="0" xfId="0" applyAlignment="1" applyBorder="1" applyFont="1">
      <alignment horizontal="center" textRotation="90"/>
    </xf>
    <xf borderId="0" fillId="0" fontId="6" numFmtId="0" xfId="0" applyAlignment="1" applyFont="1">
      <alignment horizontal="left" shrinkToFit="0" vertical="top" wrapText="1"/>
    </xf>
    <xf borderId="10" fillId="0" fontId="10" numFmtId="0" xfId="0" applyAlignment="1" applyBorder="1" applyFont="1">
      <alignment horizontal="center" shrinkToFit="0" textRotation="90" wrapText="1"/>
    </xf>
    <xf borderId="11" fillId="0" fontId="4" numFmtId="0" xfId="0" applyBorder="1" applyFont="1"/>
    <xf borderId="0" fillId="0" fontId="6" numFmtId="0" xfId="0" applyAlignment="1" applyFont="1">
      <alignment horizontal="left" vertical="top"/>
    </xf>
    <xf borderId="12" fillId="0" fontId="4" numFmtId="0" xfId="0" applyBorder="1" applyFont="1"/>
    <xf borderId="0" fillId="0" fontId="6" numFmtId="0" xfId="0" applyAlignment="1" applyFont="1">
      <alignment horizontal="left" shrinkToFit="0" wrapText="1"/>
    </xf>
    <xf borderId="5" fillId="0" fontId="2" numFmtId="0" xfId="0" applyAlignment="1" applyBorder="1" applyFont="1">
      <alignment horizontal="center" textRotation="90"/>
    </xf>
    <xf borderId="5" fillId="0" fontId="1" numFmtId="9" xfId="0" applyAlignment="1" applyBorder="1" applyFont="1" applyNumberFormat="1">
      <alignment horizontal="center" shrinkToFit="0" wrapText="1"/>
    </xf>
    <xf borderId="13" fillId="2" fontId="11" numFmtId="9" xfId="0" applyAlignment="1" applyBorder="1" applyFill="1" applyFont="1" applyNumberFormat="1">
      <alignment horizontal="center" shrinkToFit="0" vertical="center" wrapText="1"/>
    </xf>
    <xf borderId="14" fillId="0" fontId="10" numFmtId="0" xfId="0" applyAlignment="1" applyBorder="1" applyFont="1">
      <alignment horizontal="center" shrinkToFit="0" textRotation="90" wrapText="1"/>
    </xf>
    <xf borderId="2" fillId="3" fontId="2" numFmtId="0" xfId="0" applyAlignment="1" applyBorder="1" applyFill="1" applyFont="1">
      <alignment horizontal="center" textRotation="90"/>
    </xf>
    <xf borderId="11" fillId="0" fontId="12" numFmtId="0" xfId="0" applyAlignment="1" applyBorder="1" applyFont="1">
      <alignment horizontal="left" vertical="center"/>
    </xf>
    <xf borderId="0" fillId="0" fontId="6" numFmtId="0" xfId="0" applyAlignment="1" applyFont="1">
      <alignment shrinkToFit="0" vertical="center" wrapText="1"/>
    </xf>
    <xf borderId="1" fillId="0" fontId="2" numFmtId="9" xfId="0" applyAlignment="1" applyBorder="1" applyFont="1" applyNumberFormat="1">
      <alignment horizontal="center" shrinkToFit="0" vertical="top" wrapText="1"/>
    </xf>
    <xf borderId="15" fillId="0" fontId="4" numFmtId="0" xfId="0" applyBorder="1" applyFont="1"/>
    <xf borderId="16" fillId="0" fontId="4" numFmtId="0" xfId="0" applyBorder="1" applyFont="1"/>
    <xf borderId="13" fillId="3" fontId="2" numFmtId="0" xfId="0" applyAlignment="1" applyBorder="1" applyFill="1" applyFont="1">
      <alignment horizontal="center" textRotation="90"/>
    </xf>
    <xf borderId="17" fillId="3" fontId="2" numFmtId="0" xfId="0" applyAlignment="1" applyBorder="1" applyFill="1" applyFont="1">
      <alignment horizontal="right" shrinkToFit="0" vertical="center" wrapText="1"/>
    </xf>
    <xf borderId="18" fillId="0" fontId="4" numFmtId="0" xfId="0" applyBorder="1" applyFont="1"/>
    <xf borderId="19" fillId="3" fontId="10" numFmtId="9" xfId="0" applyAlignment="1" applyBorder="1" applyFill="1" applyFont="1" applyNumberFormat="1">
      <alignment horizontal="center" shrinkToFit="0" vertical="center" wrapText="1"/>
    </xf>
    <xf borderId="15" fillId="0" fontId="2" numFmtId="9" xfId="0" applyAlignment="1" applyBorder="1" applyFont="1" applyNumberFormat="1">
      <alignment horizontal="center" shrinkToFit="0" vertical="top" wrapText="1"/>
    </xf>
    <xf borderId="20" fillId="3" fontId="10" numFmtId="9" xfId="0" applyAlignment="1" applyBorder="1" applyFill="1" applyFont="1" applyNumberFormat="1">
      <alignment horizontal="center" shrinkToFit="0" vertical="center" wrapText="1"/>
    </xf>
    <xf borderId="21" fillId="3" fontId="2" numFmtId="0" xfId="0" applyAlignment="1" applyBorder="1" applyFill="1" applyFont="1">
      <alignment horizontal="center" textRotation="90"/>
    </xf>
    <xf borderId="0" fillId="0" fontId="2" numFmtId="0" xfId="0" applyAlignment="1" applyFont="1">
      <alignment horizontal="center"/>
    </xf>
    <xf borderId="22" fillId="3" fontId="13" numFmtId="0" xfId="0" applyAlignment="1" applyBorder="1" applyFill="1" applyFont="1">
      <alignment horizontal="right" shrinkToFit="0" vertical="center" wrapText="1"/>
    </xf>
    <xf borderId="23" fillId="0" fontId="4" numFmtId="0" xfId="0" applyBorder="1" applyFont="1"/>
    <xf borderId="0" fillId="0" fontId="2" numFmtId="0" xfId="0" applyAlignment="1" applyFont="1">
      <alignment horizontal="left" vertical="top"/>
    </xf>
    <xf borderId="24" fillId="3" fontId="14" numFmtId="9" xfId="0" applyAlignment="1" applyBorder="1" applyFill="1" applyFont="1" applyNumberFormat="1">
      <alignment horizontal="center" shrinkToFit="0" vertical="center" wrapText="1"/>
    </xf>
    <xf borderId="25" fillId="3" fontId="2" numFmtId="0" xfId="0" applyAlignment="1" applyBorder="1" applyFill="1" applyFont="1">
      <alignment horizontal="right" shrinkToFit="0" vertical="center" wrapText="1"/>
    </xf>
    <xf borderId="26" fillId="3" fontId="10" numFmtId="9" xfId="0" applyAlignment="1" applyBorder="1" applyFill="1" applyFont="1" applyNumberFormat="1">
      <alignment horizontal="center" shrinkToFit="0" vertical="center" wrapText="1"/>
    </xf>
    <xf borderId="27" fillId="3" fontId="2" numFmtId="9" xfId="0" applyAlignment="1" applyBorder="1" applyFill="1" applyFont="1" applyNumberFormat="1">
      <alignment horizontal="right" vertical="center"/>
    </xf>
    <xf borderId="0" fillId="0" fontId="13" numFmtId="0" xfId="0" applyAlignment="1" applyFont="1">
      <alignment horizontal="center"/>
    </xf>
    <xf borderId="28" fillId="2" fontId="1" numFmtId="0" xfId="0" applyAlignment="1" applyBorder="1" applyFill="1" applyFont="1">
      <alignment horizontal="center" textRotation="90" vertical="center"/>
    </xf>
    <xf borderId="29" fillId="3" fontId="15" numFmtId="0" xfId="0" applyAlignment="1" applyBorder="1" applyFill="1" applyFont="1">
      <alignment horizontal="left" shrinkToFit="0" vertical="center" wrapText="1"/>
    </xf>
    <xf borderId="30" fillId="0" fontId="2" numFmtId="0" xfId="0" applyAlignment="1" applyBorder="1" applyFont="1">
      <alignment horizontal="center" shrinkToFit="0" vertical="center" wrapText="1"/>
    </xf>
    <xf borderId="31" fillId="0" fontId="2" numFmtId="0" xfId="0" applyAlignment="1" applyBorder="1" applyFont="1">
      <alignment horizontal="center" shrinkToFit="0" vertical="center" wrapText="1"/>
    </xf>
    <xf borderId="32" fillId="0" fontId="2" numFmtId="0" xfId="0" applyAlignment="1" applyBorder="1" applyFont="1">
      <alignment horizontal="center" shrinkToFit="0" vertical="center" wrapText="1"/>
    </xf>
    <xf borderId="29" fillId="3" fontId="2" numFmtId="9" xfId="0" applyAlignment="1" applyBorder="1" applyFill="1" applyFont="1" applyNumberFormat="1">
      <alignment vertical="center"/>
    </xf>
    <xf borderId="33" fillId="3" fontId="10" numFmtId="9" xfId="0" applyAlignment="1" applyBorder="1" applyFill="1" applyFont="1" applyNumberFormat="1">
      <alignment horizontal="center" shrinkToFit="0" vertical="center" wrapText="1"/>
    </xf>
    <xf borderId="21" fillId="3" fontId="15" numFmtId="0" xfId="0" applyAlignment="1" applyBorder="1" applyFill="1" applyFont="1">
      <alignment horizontal="left" shrinkToFit="0" vertical="center" wrapText="1"/>
    </xf>
    <xf borderId="0" fillId="0" fontId="2" numFmtId="0" xfId="0" applyAlignment="1" applyFont="1">
      <alignment shrinkToFit="0" vertical="center" wrapText="1"/>
    </xf>
    <xf borderId="34" fillId="0" fontId="2" numFmtId="0" xfId="0" applyAlignment="1" applyBorder="1" applyFont="1">
      <alignment horizontal="center" shrinkToFit="0" vertical="center" wrapText="1"/>
    </xf>
    <xf borderId="35" fillId="0" fontId="2" numFmtId="0" xfId="0" applyAlignment="1" applyBorder="1" applyFont="1">
      <alignment horizontal="center" shrinkToFit="0" vertical="center" wrapText="1"/>
    </xf>
    <xf borderId="9" fillId="0" fontId="1" numFmtId="0" xfId="0" applyAlignment="1" applyBorder="1" applyFont="1">
      <alignment horizontal="left" shrinkToFit="0" vertical="top" wrapText="1"/>
    </xf>
    <xf borderId="36" fillId="2" fontId="16" numFmtId="0" xfId="0" applyAlignment="1" applyBorder="1" applyFill="1" applyFont="1">
      <alignment horizontal="left" shrinkToFit="0" vertical="center" wrapText="1"/>
    </xf>
    <xf borderId="37" fillId="0" fontId="2" numFmtId="0" xfId="0" applyAlignment="1" applyBorder="1" applyFont="1">
      <alignment horizontal="center" shrinkToFit="0" vertical="center" wrapText="1"/>
    </xf>
    <xf borderId="38" fillId="0" fontId="2" numFmtId="0" xfId="0" applyAlignment="1" applyBorder="1" applyFont="1">
      <alignment horizontal="center" shrinkToFit="0" vertical="center" wrapText="1"/>
    </xf>
    <xf borderId="21" fillId="3" fontId="2" numFmtId="9" xfId="0" applyAlignment="1" applyBorder="1" applyFill="1" applyFont="1" applyNumberFormat="1">
      <alignment vertical="center"/>
    </xf>
    <xf borderId="39" fillId="0" fontId="12" numFmtId="0" xfId="0" applyAlignment="1" applyBorder="1" applyFont="1">
      <alignment horizontal="left" vertical="center"/>
    </xf>
    <xf borderId="16" fillId="0" fontId="1" numFmtId="0" xfId="0" applyAlignment="1" applyBorder="1" applyFont="1">
      <alignment horizontal="left" shrinkToFit="0" vertical="top" wrapText="1"/>
    </xf>
    <xf borderId="40" fillId="3" fontId="17" numFmtId="0" xfId="0" applyAlignment="1" applyBorder="1" applyFill="1" applyFont="1">
      <alignment horizontal="left" shrinkToFit="0" vertical="center" wrapText="1"/>
    </xf>
    <xf borderId="41" fillId="0" fontId="2" numFmtId="0" xfId="0" applyAlignment="1" applyBorder="1" applyFont="1">
      <alignment horizontal="center" shrinkToFit="0" vertical="center" wrapText="1"/>
    </xf>
    <xf borderId="42" fillId="3" fontId="15" numFmtId="0" xfId="0" applyAlignment="1" applyBorder="1" applyFill="1" applyFont="1">
      <alignment horizontal="left" shrinkToFit="0" vertical="center" wrapText="1"/>
    </xf>
    <xf borderId="43" fillId="0" fontId="2" numFmtId="0" xfId="0" applyAlignment="1" applyBorder="1" applyFont="1">
      <alignment horizontal="center" shrinkToFit="0" vertical="center" wrapText="1"/>
    </xf>
    <xf borderId="44" fillId="0" fontId="2" numFmtId="0" xfId="0" applyAlignment="1" applyBorder="1" applyFont="1">
      <alignment horizontal="center" shrinkToFit="0" vertical="center" wrapText="1"/>
    </xf>
    <xf borderId="45" fillId="0" fontId="2" numFmtId="0" xfId="0" applyAlignment="1" applyBorder="1" applyFont="1">
      <alignment horizontal="center" shrinkToFit="0" vertical="center" wrapText="1"/>
    </xf>
    <xf borderId="42" fillId="3" fontId="2" numFmtId="9" xfId="0" applyAlignment="1" applyBorder="1" applyFill="1" applyFont="1" applyNumberFormat="1">
      <alignment vertical="center"/>
    </xf>
    <xf borderId="0" fillId="0" fontId="6" numFmtId="0" xfId="0" applyAlignment="1" applyFont="1">
      <alignment horizontal="left" shrinkToFit="0" vertical="center" wrapText="1"/>
    </xf>
    <xf borderId="39" fillId="0" fontId="4" numFmtId="0" xfId="0" applyBorder="1" applyFont="1"/>
    <xf borderId="27" fillId="3" fontId="15" numFmtId="0" xfId="0" applyAlignment="1" applyBorder="1" applyFill="1" applyFont="1">
      <alignment horizontal="left" shrinkToFit="0" vertical="center" wrapText="1"/>
    </xf>
    <xf borderId="46" fillId="0" fontId="2" numFmtId="0" xfId="0" applyAlignment="1" applyBorder="1" applyFont="1">
      <alignment horizontal="center" shrinkToFit="0" vertical="center" wrapText="1"/>
    </xf>
    <xf borderId="47" fillId="0" fontId="2" numFmtId="0" xfId="0" applyAlignment="1" applyBorder="1" applyFont="1">
      <alignment horizontal="center" shrinkToFit="0" vertical="center" wrapText="1"/>
    </xf>
    <xf borderId="48" fillId="0" fontId="2" numFmtId="0" xfId="0" applyAlignment="1" applyBorder="1" applyFont="1">
      <alignment horizontal="center" shrinkToFit="0" vertical="center" wrapText="1"/>
    </xf>
    <xf borderId="27" fillId="3" fontId="2" numFmtId="9" xfId="0" applyAlignment="1" applyBorder="1" applyFill="1" applyFont="1" applyNumberFormat="1">
      <alignment vertical="center"/>
    </xf>
    <xf borderId="0" fillId="0" fontId="6" numFmtId="0" xfId="0" applyAlignment="1" applyFont="1">
      <alignment vertical="top"/>
    </xf>
    <xf borderId="49" fillId="2" fontId="1" numFmtId="0" xfId="0" applyAlignment="1" applyBorder="1" applyFill="1" applyFont="1">
      <alignment horizontal="center" textRotation="90" vertical="center"/>
    </xf>
    <xf borderId="36" fillId="3" fontId="15" numFmtId="0" xfId="0" applyAlignment="1" applyBorder="1" applyFill="1" applyFont="1">
      <alignment horizontal="left" shrinkToFit="0" vertical="center" wrapText="1"/>
    </xf>
    <xf borderId="50" fillId="0" fontId="4" numFmtId="0" xfId="0" applyBorder="1" applyFont="1"/>
    <xf borderId="51" fillId="3" fontId="15" numFmtId="0" xfId="0" applyAlignment="1" applyBorder="1" applyFill="1" applyFont="1">
      <alignment horizontal="left" shrinkToFit="0" vertical="center" wrapText="1"/>
    </xf>
    <xf borderId="40" fillId="3" fontId="15" numFmtId="0" xfId="0" applyAlignment="1" applyBorder="1" applyFill="1" applyFont="1">
      <alignment horizontal="left" shrinkToFit="0" vertical="center" wrapText="1"/>
    </xf>
    <xf borderId="52" fillId="0" fontId="2" numFmtId="0" xfId="0" applyAlignment="1" applyBorder="1" applyFont="1">
      <alignment horizontal="center" shrinkToFit="0" vertical="center" wrapText="1"/>
    </xf>
    <xf borderId="53" fillId="0" fontId="4" numFmtId="0" xfId="0" applyBorder="1" applyFont="1"/>
    <xf borderId="54" fillId="3" fontId="15" numFmtId="0" xfId="0" applyAlignment="1" applyBorder="1" applyFill="1" applyFont="1">
      <alignment horizontal="left" shrinkToFit="0" vertical="center" wrapText="1"/>
    </xf>
    <xf borderId="55" fillId="0" fontId="2" numFmtId="0" xfId="0" applyAlignment="1" applyBorder="1" applyFont="1">
      <alignment horizontal="center" shrinkToFit="0" vertical="center" wrapText="1"/>
    </xf>
    <xf borderId="56" fillId="3" fontId="17" numFmtId="0" xfId="0" applyAlignment="1" applyBorder="1" applyFill="1" applyFont="1">
      <alignment horizontal="left" shrinkToFit="0" vertical="center" wrapText="1"/>
    </xf>
    <xf borderId="57" fillId="0" fontId="2" numFmtId="0" xfId="0" applyAlignment="1" applyBorder="1" applyFont="1">
      <alignment horizontal="center" shrinkToFit="0" vertical="center" wrapText="1"/>
    </xf>
    <xf borderId="58" fillId="0" fontId="2" numFmtId="0" xfId="0" applyAlignment="1" applyBorder="1" applyFont="1">
      <alignment horizontal="center" shrinkToFit="0" vertical="center" wrapText="1"/>
    </xf>
    <xf borderId="59" fillId="0" fontId="1" numFmtId="0" xfId="0" applyAlignment="1" applyBorder="1" applyFont="1">
      <alignment horizontal="left" shrinkToFit="0" vertical="top" wrapText="1"/>
    </xf>
    <xf borderId="54" fillId="3" fontId="17" numFmtId="0" xfId="0" applyAlignment="1" applyBorder="1" applyFill="1" applyFont="1">
      <alignment horizontal="left" shrinkToFit="0" vertical="center" wrapText="1"/>
    </xf>
    <xf borderId="16" fillId="0" fontId="1" numFmtId="0" xfId="0" applyAlignment="1" applyBorder="1" applyFont="1">
      <alignment horizontal="center" vertical="center"/>
    </xf>
    <xf borderId="52" fillId="0" fontId="2" numFmtId="0" xfId="0" applyAlignment="1" applyBorder="1" applyFont="1">
      <alignment horizontal="center"/>
    </xf>
    <xf borderId="44" fillId="0" fontId="2" numFmtId="0" xfId="0" applyAlignment="1" applyBorder="1" applyFont="1">
      <alignment horizontal="center"/>
    </xf>
    <xf borderId="45" fillId="0" fontId="2" numFmtId="0" xfId="0" applyAlignment="1" applyBorder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E2EFD9"/>
          <bgColor rgb="FFE2EFD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63.43"/>
    <col customWidth="1" min="4" max="4" width="9.14"/>
    <col customWidth="1" min="5" max="5" width="50.0"/>
    <col customWidth="1" min="6" max="8" width="9.14"/>
    <col customWidth="1" min="9" max="26" width="8.71"/>
  </cols>
  <sheetData>
    <row r="1" ht="30.0" customHeight="1">
      <c r="A1" s="2" t="s">
        <v>0</v>
      </c>
      <c r="B1" s="5"/>
      <c r="C1" s="5"/>
      <c r="D1" s="3"/>
      <c r="E1" s="4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3.25" customHeight="1">
      <c r="A2" s="8" t="s">
        <v>2</v>
      </c>
      <c r="B2" s="8" t="s">
        <v>4</v>
      </c>
      <c r="C2" s="8" t="s">
        <v>5</v>
      </c>
      <c r="D2" s="3"/>
      <c r="E2" s="10"/>
      <c r="F2" s="11"/>
      <c r="G2" s="11"/>
      <c r="H2" s="11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44.25" customHeight="1">
      <c r="A3" s="20" t="s">
        <v>8</v>
      </c>
      <c r="B3" s="20" t="s">
        <v>12</v>
      </c>
      <c r="C3" s="20" t="s">
        <v>13</v>
      </c>
      <c r="D3" s="3"/>
      <c r="E3" s="10"/>
      <c r="F3" s="11"/>
      <c r="G3" s="11"/>
      <c r="H3" s="11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4.25" customHeight="1">
      <c r="A4" s="24"/>
      <c r="B4" s="24"/>
      <c r="C4" s="24"/>
      <c r="D4" s="3"/>
      <c r="F4" s="11"/>
      <c r="G4" s="11"/>
      <c r="H4" s="11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4.25" customHeight="1">
      <c r="A5" s="24"/>
      <c r="B5" s="24"/>
      <c r="C5" s="24"/>
      <c r="D5" s="3"/>
      <c r="F5" s="11"/>
      <c r="G5" s="11"/>
      <c r="H5" s="11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4.25" customHeight="1">
      <c r="A6" s="26"/>
      <c r="B6" s="26"/>
      <c r="C6" s="26"/>
      <c r="D6" s="3"/>
      <c r="F6" s="11"/>
      <c r="G6" s="11"/>
      <c r="H6" s="11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2.5" customHeight="1">
      <c r="A7" s="30">
        <f t="shared" ref="A7:C7" si="1">(COUNTIF(A8:A38, "*"))/(COUNTIF($A$8:$C$38, "*"))</f>
        <v>0.3333333333</v>
      </c>
      <c r="B7" s="30">
        <f t="shared" si="1"/>
        <v>0.3333333333</v>
      </c>
      <c r="C7" s="30">
        <f t="shared" si="1"/>
        <v>0.3333333333</v>
      </c>
      <c r="D7" s="3"/>
      <c r="F7" s="11"/>
      <c r="G7" s="11"/>
      <c r="H7" s="11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8.0" customHeight="1">
      <c r="A8" s="33" t="s">
        <v>10</v>
      </c>
      <c r="B8" s="33" t="s">
        <v>10</v>
      </c>
      <c r="C8" s="33" t="s">
        <v>10</v>
      </c>
      <c r="D8" s="3"/>
      <c r="F8" s="11"/>
      <c r="G8" s="11"/>
      <c r="H8" s="11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8.0" customHeight="1">
      <c r="A9" s="33" t="s">
        <v>10</v>
      </c>
      <c r="B9" s="33" t="s">
        <v>10</v>
      </c>
      <c r="C9" s="33" t="s">
        <v>10</v>
      </c>
      <c r="D9" s="3"/>
      <c r="F9" s="11"/>
      <c r="G9" s="11"/>
      <c r="H9" s="11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8.0" customHeight="1">
      <c r="A10" s="33" t="s">
        <v>10</v>
      </c>
      <c r="B10" s="33" t="s">
        <v>10</v>
      </c>
      <c r="C10" s="33" t="s">
        <v>10</v>
      </c>
      <c r="D10" s="3"/>
      <c r="E10" s="22"/>
      <c r="F10" s="11"/>
      <c r="G10" s="11"/>
      <c r="H10" s="11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8.0" customHeight="1">
      <c r="A11" s="33" t="s">
        <v>10</v>
      </c>
      <c r="B11" s="33" t="s">
        <v>10</v>
      </c>
      <c r="C11" s="33" t="s">
        <v>10</v>
      </c>
      <c r="D11" s="3"/>
      <c r="F11" s="11"/>
      <c r="G11" s="11"/>
      <c r="H11" s="11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8.0" customHeight="1">
      <c r="A12" s="33"/>
      <c r="B12" s="33"/>
      <c r="C12" s="33"/>
      <c r="D12" s="3"/>
      <c r="E12" s="11"/>
      <c r="F12" s="11"/>
      <c r="G12" s="11"/>
      <c r="H12" s="11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8.0" customHeight="1">
      <c r="A13" s="33"/>
      <c r="B13" s="33"/>
      <c r="C13" s="33"/>
      <c r="D13" s="3"/>
      <c r="E13" s="11"/>
      <c r="F13" s="11"/>
      <c r="G13" s="11"/>
      <c r="H13" s="11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8.0" customHeight="1">
      <c r="A14" s="33"/>
      <c r="B14" s="33"/>
      <c r="C14" s="33"/>
      <c r="D14" s="3"/>
      <c r="E14" s="11"/>
      <c r="F14" s="11"/>
      <c r="G14" s="11"/>
      <c r="H14" s="11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8.0" customHeight="1">
      <c r="A15" s="33"/>
      <c r="B15" s="33"/>
      <c r="C15" s="33"/>
      <c r="D15" s="3"/>
      <c r="E15" s="11"/>
      <c r="F15" s="11"/>
      <c r="G15" s="11"/>
      <c r="H15" s="11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8.0" customHeight="1">
      <c r="A16" s="33"/>
      <c r="B16" s="33"/>
      <c r="C16" s="33"/>
      <c r="D16" s="3"/>
      <c r="E16" s="11"/>
      <c r="F16" s="11"/>
      <c r="G16" s="11"/>
      <c r="H16" s="11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8.0" customHeight="1">
      <c r="A17" s="33"/>
      <c r="B17" s="33"/>
      <c r="C17" s="33"/>
      <c r="D17" s="3"/>
      <c r="E17" s="11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8.0" customHeight="1">
      <c r="A18" s="33"/>
      <c r="B18" s="33"/>
      <c r="C18" s="33"/>
      <c r="D18" s="3"/>
      <c r="E18" s="11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8.0" customHeight="1">
      <c r="A19" s="33"/>
      <c r="B19" s="33"/>
      <c r="C19" s="3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8.0" customHeight="1">
      <c r="A20" s="33"/>
      <c r="B20" s="33"/>
      <c r="C20" s="3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8.0" customHeight="1">
      <c r="A21" s="33"/>
      <c r="B21" s="33"/>
      <c r="C21" s="3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8.0" customHeight="1">
      <c r="A22" s="33"/>
      <c r="B22" s="33"/>
      <c r="C22" s="3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8.0" customHeight="1">
      <c r="A23" s="33"/>
      <c r="B23" s="33"/>
      <c r="C23" s="3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8.0" customHeight="1">
      <c r="A24" s="33"/>
      <c r="B24" s="33"/>
      <c r="C24" s="3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8.0" customHeight="1">
      <c r="A25" s="33"/>
      <c r="B25" s="33"/>
      <c r="C25" s="3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8.0" customHeight="1">
      <c r="A26" s="33"/>
      <c r="B26" s="33"/>
      <c r="C26" s="3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8.0" customHeight="1">
      <c r="A27" s="33"/>
      <c r="B27" s="33"/>
      <c r="C27" s="3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8.0" customHeight="1">
      <c r="A28" s="33"/>
      <c r="B28" s="33"/>
      <c r="C28" s="3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8.0" customHeight="1">
      <c r="A29" s="33"/>
      <c r="B29" s="33"/>
      <c r="C29" s="3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8.0" customHeight="1">
      <c r="A30" s="33"/>
      <c r="B30" s="33"/>
      <c r="C30" s="3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8.0" customHeight="1">
      <c r="A31" s="33"/>
      <c r="B31" s="33"/>
      <c r="C31" s="3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8.0" customHeight="1">
      <c r="A32" s="33"/>
      <c r="B32" s="33"/>
      <c r="C32" s="3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8.0" customHeight="1">
      <c r="A33" s="33"/>
      <c r="B33" s="33"/>
      <c r="C33" s="3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8.0" customHeight="1">
      <c r="A34" s="33"/>
      <c r="B34" s="33"/>
      <c r="C34" s="3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8.0" customHeight="1">
      <c r="A35" s="33"/>
      <c r="B35" s="33"/>
      <c r="C35" s="3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8.0" customHeight="1">
      <c r="A36" s="33"/>
      <c r="B36" s="33"/>
      <c r="C36" s="3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8.0" customHeight="1">
      <c r="A37" s="33"/>
      <c r="B37" s="33"/>
      <c r="C37" s="3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8.0" customHeight="1">
      <c r="A38" s="70"/>
      <c r="B38" s="70"/>
      <c r="C38" s="70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4.2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4.2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4.2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4.2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4.2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4.2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4.2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4.2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4.2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4.2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4.2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4.2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4.2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4.2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4.2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4.2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4.2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4.2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4.2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4.2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4.2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4.2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4.2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4.2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4.2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4.2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4.2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4.2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4.2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4.2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4.2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4.2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4.2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4.2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4.2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4.2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4.2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4.2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4.2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4.2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4.2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4.2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4.2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4.2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4.2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4.2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4.2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4.2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4.2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4.2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4.2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4.2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4.2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4.2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4.2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4.2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4.2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4.2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4.2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4.2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4.2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4.2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4.2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4.2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4.2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4.2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4.2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4.2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4.2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4.2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4.2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4.2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4.2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4.2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4.2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4.2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4.2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4.2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4.2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4.2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4.2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4.2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4.2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4.2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4.2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4.2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4.2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4.2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4.2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4.2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4.2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4.2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4.2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4.2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4.2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4.2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4.2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4.2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4.2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4.2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4.2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4.2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4.2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4.2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4.2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4.2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4.2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4.2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4.2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4.2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4.2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4.2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4.2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4.2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4.2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4.2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4.2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4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4.2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4.2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4.2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4.2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4.2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4.2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4.2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4.2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4.2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4.2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4.2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4.2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4.2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4.2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4.2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4.2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4.2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4.2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4.2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4.2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4.2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4.2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4.2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4.2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4.2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4.2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4.2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4.2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4.2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4.2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4.2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4.2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4.2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4.2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4.2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4.2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4.2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4.2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4.2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4.2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4.2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4.2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4.2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4.2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4.2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4.2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4.2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4.2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4.2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4.2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4.2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4.2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4.2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4.2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4.2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4.2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4.2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4.2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4.2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4.2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4.2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4.2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4.2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4.2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4.2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4.2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4.2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4.2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4.2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4.2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4.2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4.2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4.2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4.2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4.2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4.2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4.2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4.2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4.2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4.2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4.2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4.2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4.2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4.2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4.2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4.2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4.2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4.2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4.2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4.2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4.2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4.2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4.2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4.2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4.2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4.2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4.2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4.2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4.2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4.2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4.2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4.2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4.2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4.2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4.2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4.2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4.2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4.2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4.2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4.2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4.2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4.2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4.2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4.2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4.2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4.2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4.2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4.2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4.2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4.2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4.2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4.2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4.2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4.2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4.2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4.2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4.2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4.2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4.2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4.2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4.2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4.2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4.2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4.2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4.2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4.2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4.2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4.2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4.2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4.2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4.2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4.2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4.2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4.2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4.2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4.2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4.2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4.2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4.2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4.2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4.2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4.2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4.2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4.2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4.2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4.2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4.2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4.2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4.2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4.2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4.2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4.2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4.2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4.2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4.2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4.2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4.2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4.2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4.2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4.2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4.2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4.2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4.2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4.2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4.2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4.2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4.2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4.2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4.2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4.2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4.2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4.2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4.2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4.2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4.2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4.2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4.2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4.2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4.2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4.2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4.2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4.2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4.2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4.2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4.2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4.2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4.2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4.2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4.2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4.2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4.2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4.2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4.2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4.2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4.2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4.2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4.2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4.2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4.2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4.2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4.2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4.2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4.2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4.2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4.2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4.2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4.2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4.2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4.2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4.2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4.2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4.2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4.2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4.2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4.2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4.2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4.2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4.2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4.2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4.2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4.2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4.2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4.2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4.2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4.2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4.2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4.2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4.2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4.2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4.2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4.2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4.2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4.2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4.2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4.2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4.2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4.2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4.2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4.2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4.2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4.2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4.2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4.2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4.2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4.2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4.2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4.2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4.2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4.2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4.2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4.2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4.2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4.2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4.2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4.2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4.2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4.2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4.2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4.2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4.2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4.2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4.2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4.2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4.2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4.2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4.2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4.2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4.2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4.2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4.2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4.2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4.2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4.2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4.2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4.2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4.2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4.2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4.2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4.2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4.2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4.2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4.2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4.2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4.2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4.2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4.2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4.2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4.2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4.2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4.2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4.2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4.2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4.2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4.2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4.2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4.2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4.2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4.2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4.2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4.2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4.2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4.2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4.2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4.2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4.2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4.2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4.2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4.2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4.2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4.2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4.2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4.2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4.2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4.2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4.2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4.2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4.2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4.2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4.2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4.2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4.2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4.2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4.2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4.2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4.2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4.2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4.2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4.2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4.2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4.2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4.2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4.2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4.2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4.2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4.2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4.2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4.2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4.2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4.2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4.2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4.2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4.2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4.2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4.2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4.2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4.2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4.2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4.2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4.2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4.2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4.2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4.2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4.2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4.2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4.2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4.2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4.2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4.2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4.2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4.2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4.2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4.2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4.2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4.2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4.2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4.2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4.2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4.2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4.2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4.2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4.2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4.2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4.2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4.2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4.2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4.2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4.2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4.2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4.2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4.2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4.2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4.2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4.2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4.2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4.2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4.2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4.2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4.2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4.2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4.2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4.2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4.2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4.2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4.2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4.2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4.2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4.2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4.2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4.2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4.2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4.2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4.2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4.2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4.2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4.2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4.2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4.2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4.2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4.2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4.2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4.2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4.2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4.2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4.2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4.2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4.2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4.2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4.2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4.2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4.2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4.2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4.2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4.2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4.2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4.2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4.2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4.2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4.2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4.2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4.2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4.2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4.2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4.2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4.2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4.2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4.2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4.2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4.2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4.2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4.2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4.2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4.2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4.2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4.2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4.2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4.2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4.2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4.2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4.2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4.2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4.2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4.2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4.2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4.2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4.2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4.2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4.2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4.2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4.2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4.2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4.2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4.2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4.2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4.2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4.2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4.2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4.2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4.2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4.2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4.2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4.2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4.2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4.2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4.2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4.2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4.2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4.2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4.2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4.2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4.2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4.2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4.2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4.2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4.2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4.2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4.2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4.2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4.2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4.2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4.2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4.2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4.2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4.2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4.2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4.2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4.2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4.2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4.2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4.2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4.2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4.2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4.2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4.2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4.2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4.2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4.2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4.2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4.2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4.2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4.2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4.2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4.2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4.2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4.2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4.2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4.2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4.2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4.2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4.2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4.2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4.2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4.2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4.2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4.2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4.2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4.2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4.2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4.2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4.2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4.2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4.2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4.2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4.2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4.2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4.2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4.2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4.2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4.2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4.2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4.2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4.2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4.2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4.2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4.2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4.2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4.2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4.2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4.2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4.2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4.2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4.2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4.2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4.2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4.2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4.2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4.2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4.2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4.2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4.2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4.2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4.2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4.2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4.2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4.2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4.2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4.2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4.2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4.2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4.2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4.2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4.2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4.2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4.2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4.2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4.2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4.2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4.2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4.2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4.2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4.2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4.2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4.2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4.2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4.2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4.2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4.2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4.2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4.2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4.2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4.2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4.2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4.2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4.2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4.2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4.2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4.2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4.2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4.2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4.2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4.2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4.2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4.2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4.2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4.2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4.2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4.2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4.2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4.2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4.2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4.2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4.2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4.2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4.2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4.2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4.2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4.2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4.2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4.2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4.2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4.2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4.2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4.2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4.2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4.2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4.2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4.2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4.2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4.2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4.2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4.2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4.2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4.2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4.2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4.2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4.2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4.2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4.2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4.2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4.2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4.2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4.2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4.2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4.2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4.2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4.2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4.2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4.2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4.2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4.2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4.2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4.2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4.2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4.2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4.2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4.2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4.2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4.2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4.2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4.2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4.2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4.2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4.2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4.2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4.2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4.2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4.2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4.2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4.2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4.2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4.2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4.2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4.2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4.2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4.2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4.2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4.2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4.2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4.2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4.2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4.2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4.2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4.2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4.2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4.2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4.2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4.2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4.2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4.2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4.2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4.2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4.2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4.2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4.2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4.2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4.2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4.2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4.2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4.2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4.2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4.2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4.2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4.2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4.2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4.2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4.2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4.2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4.2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4.2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4.2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4.2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4.2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4.2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4.2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4.2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4.2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4.2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4.2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4.2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4.2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4.2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4.2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4.2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4.2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4.2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4.2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4.2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4.2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4.2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4.2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4.2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4.2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4.2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4.2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4.2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4.2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4.2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4.2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4.2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4.2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4.2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4.2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4.2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4.2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4.2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4.2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4.2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4.2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4.2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4.2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4.2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4.2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4.2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4.2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4.2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4.2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4.2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4.2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4.2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4.2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4.2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4.2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4.2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4.2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4.2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4.2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4.2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4.2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4.2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4.2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4.2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4.2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4.2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4.2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4.2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4.2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4.2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4.2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4.2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4.2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4.2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4.2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4.2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4.2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4.2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4.2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4.2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4.2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4.2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4.2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4.2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4.2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4.2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4.2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4.2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4.2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4.2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4.2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4.2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4.2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4.2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4.2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4.2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4.2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4.2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4.2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4.2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4.2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4.2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4.2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4.2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4.2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4.2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4.2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4.2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4.2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4.2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4.2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4.2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4.2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4.2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4.2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4.2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4.2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4.2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4.2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4.2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4.2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4.2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4.2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4.2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4.2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4.2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4.2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4.2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6">
    <mergeCell ref="A1:C1"/>
    <mergeCell ref="A3:A6"/>
    <mergeCell ref="B3:B6"/>
    <mergeCell ref="C3:C6"/>
    <mergeCell ref="E3:E9"/>
    <mergeCell ref="E10:E11"/>
  </mergeCells>
  <printOptions/>
  <pageMargins bottom="0.75" footer="0.0" header="0.0" left="0.7" right="0.7" top="0.75"/>
  <pageSetup paperSize="9" scale="6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4.86"/>
    <col customWidth="1" min="2" max="2" width="39.14"/>
    <col customWidth="1" min="3" max="36" width="6.14"/>
    <col customWidth="1" min="37" max="38" width="9.14"/>
    <col customWidth="1" min="39" max="39" width="52.43"/>
  </cols>
  <sheetData>
    <row r="1" ht="30.0" customHeight="1">
      <c r="A1" s="6" t="str">
        <f>'Assessment 1'!A1</f>
        <v>End of Unit Assessment | Computing | Year 4 | Word Processing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13" t="s">
        <v>6</v>
      </c>
      <c r="AK1" s="3"/>
      <c r="AL1" s="3"/>
      <c r="AM1" s="4"/>
    </row>
    <row r="2" ht="114.0" customHeight="1">
      <c r="A2" s="14"/>
      <c r="B2" s="16"/>
      <c r="C2" s="21" t="s">
        <v>10</v>
      </c>
      <c r="D2" s="23" t="s">
        <v>10</v>
      </c>
      <c r="E2" s="23" t="s">
        <v>10</v>
      </c>
      <c r="F2" s="23" t="s">
        <v>10</v>
      </c>
      <c r="G2" s="23" t="s">
        <v>10</v>
      </c>
      <c r="H2" s="23" t="s">
        <v>10</v>
      </c>
      <c r="I2" s="23" t="s">
        <v>10</v>
      </c>
      <c r="J2" s="23" t="s">
        <v>10</v>
      </c>
      <c r="K2" s="23" t="s">
        <v>10</v>
      </c>
      <c r="L2" s="23" t="s">
        <v>10</v>
      </c>
      <c r="M2" s="23" t="s">
        <v>10</v>
      </c>
      <c r="N2" s="23" t="s">
        <v>10</v>
      </c>
      <c r="O2" s="23" t="s">
        <v>10</v>
      </c>
      <c r="P2" s="23" t="s">
        <v>10</v>
      </c>
      <c r="Q2" s="23" t="s">
        <v>10</v>
      </c>
      <c r="R2" s="23" t="s">
        <v>10</v>
      </c>
      <c r="S2" s="23" t="s">
        <v>10</v>
      </c>
      <c r="T2" s="23" t="s">
        <v>10</v>
      </c>
      <c r="U2" s="23" t="s">
        <v>10</v>
      </c>
      <c r="V2" s="23" t="s">
        <v>10</v>
      </c>
      <c r="W2" s="23" t="s">
        <v>10</v>
      </c>
      <c r="X2" s="23" t="s">
        <v>10</v>
      </c>
      <c r="Y2" s="23" t="s">
        <v>10</v>
      </c>
      <c r="Z2" s="23" t="s">
        <v>10</v>
      </c>
      <c r="AA2" s="23" t="s">
        <v>10</v>
      </c>
      <c r="AB2" s="23" t="s">
        <v>10</v>
      </c>
      <c r="AC2" s="23" t="s">
        <v>10</v>
      </c>
      <c r="AD2" s="23" t="s">
        <v>10</v>
      </c>
      <c r="AE2" s="23" t="s">
        <v>10</v>
      </c>
      <c r="AF2" s="23" t="s">
        <v>10</v>
      </c>
      <c r="AG2" s="23" t="s">
        <v>10</v>
      </c>
      <c r="AH2" s="23" t="s">
        <v>10</v>
      </c>
      <c r="AI2" s="23" t="s">
        <v>10</v>
      </c>
      <c r="AJ2" s="31" t="s">
        <v>10</v>
      </c>
      <c r="AK2" s="32"/>
      <c r="AL2" s="3"/>
      <c r="AM2" s="34"/>
    </row>
    <row r="3" ht="56.25" customHeight="1">
      <c r="A3" s="35"/>
      <c r="B3" s="36"/>
      <c r="C3" s="37"/>
      <c r="AJ3" s="16"/>
      <c r="AK3" s="38" t="s">
        <v>17</v>
      </c>
      <c r="AL3" s="3"/>
      <c r="AM3" s="10"/>
    </row>
    <row r="4" ht="21.0" customHeight="1">
      <c r="A4" s="39" t="s">
        <v>18</v>
      </c>
      <c r="B4" s="40"/>
      <c r="C4" s="41">
        <f t="shared" ref="C4:AJ4" si="1">COUNTIF(C6:C36,"*")/COUNTIF($B$6:$B$36,"*")</f>
        <v>0</v>
      </c>
      <c r="D4" s="41">
        <f t="shared" si="1"/>
        <v>0</v>
      </c>
      <c r="E4" s="41">
        <f t="shared" si="1"/>
        <v>0</v>
      </c>
      <c r="F4" s="41">
        <f t="shared" si="1"/>
        <v>0</v>
      </c>
      <c r="G4" s="41">
        <f t="shared" si="1"/>
        <v>0</v>
      </c>
      <c r="H4" s="41">
        <f t="shared" si="1"/>
        <v>0</v>
      </c>
      <c r="I4" s="41">
        <f t="shared" si="1"/>
        <v>0</v>
      </c>
      <c r="J4" s="41">
        <f t="shared" si="1"/>
        <v>0</v>
      </c>
      <c r="K4" s="41">
        <f t="shared" si="1"/>
        <v>0</v>
      </c>
      <c r="L4" s="41">
        <f t="shared" si="1"/>
        <v>0</v>
      </c>
      <c r="M4" s="41">
        <f t="shared" si="1"/>
        <v>0</v>
      </c>
      <c r="N4" s="41">
        <f t="shared" si="1"/>
        <v>0</v>
      </c>
      <c r="O4" s="41">
        <f t="shared" si="1"/>
        <v>0</v>
      </c>
      <c r="P4" s="41">
        <f t="shared" si="1"/>
        <v>0</v>
      </c>
      <c r="Q4" s="41">
        <f t="shared" si="1"/>
        <v>0</v>
      </c>
      <c r="R4" s="41">
        <f t="shared" si="1"/>
        <v>0</v>
      </c>
      <c r="S4" s="41">
        <f t="shared" si="1"/>
        <v>0</v>
      </c>
      <c r="T4" s="41">
        <f t="shared" si="1"/>
        <v>0</v>
      </c>
      <c r="U4" s="41">
        <f t="shared" si="1"/>
        <v>0</v>
      </c>
      <c r="V4" s="41">
        <f t="shared" si="1"/>
        <v>0</v>
      </c>
      <c r="W4" s="41">
        <f t="shared" si="1"/>
        <v>0</v>
      </c>
      <c r="X4" s="41">
        <f t="shared" si="1"/>
        <v>0</v>
      </c>
      <c r="Y4" s="41">
        <f t="shared" si="1"/>
        <v>0</v>
      </c>
      <c r="Z4" s="41">
        <f t="shared" si="1"/>
        <v>0</v>
      </c>
      <c r="AA4" s="41">
        <f t="shared" si="1"/>
        <v>0</v>
      </c>
      <c r="AB4" s="41">
        <f t="shared" si="1"/>
        <v>0</v>
      </c>
      <c r="AC4" s="41">
        <f t="shared" si="1"/>
        <v>0</v>
      </c>
      <c r="AD4" s="41">
        <f t="shared" si="1"/>
        <v>0</v>
      </c>
      <c r="AE4" s="41">
        <f t="shared" si="1"/>
        <v>0</v>
      </c>
      <c r="AF4" s="41">
        <f t="shared" si="1"/>
        <v>0</v>
      </c>
      <c r="AG4" s="41">
        <f t="shared" si="1"/>
        <v>0</v>
      </c>
      <c r="AH4" s="41">
        <f t="shared" si="1"/>
        <v>0</v>
      </c>
      <c r="AI4" s="41">
        <f t="shared" si="1"/>
        <v>0</v>
      </c>
      <c r="AJ4" s="43">
        <f t="shared" si="1"/>
        <v>0</v>
      </c>
      <c r="AK4" s="44"/>
      <c r="AL4" s="45"/>
    </row>
    <row r="5" ht="30.75" customHeight="1">
      <c r="A5" s="46" t="s">
        <v>19</v>
      </c>
      <c r="B5" s="47"/>
      <c r="C5" s="49" t="str">
        <f t="shared" ref="C5:AI5" si="2">IF(COUNTIF(C6:C21, "*")=16, "y", "n")</f>
        <v>n</v>
      </c>
      <c r="D5" s="49" t="str">
        <f t="shared" si="2"/>
        <v>n</v>
      </c>
      <c r="E5" s="49" t="str">
        <f t="shared" si="2"/>
        <v>n</v>
      </c>
      <c r="F5" s="49" t="str">
        <f t="shared" si="2"/>
        <v>n</v>
      </c>
      <c r="G5" s="49" t="str">
        <f t="shared" si="2"/>
        <v>n</v>
      </c>
      <c r="H5" s="49" t="str">
        <f t="shared" si="2"/>
        <v>n</v>
      </c>
      <c r="I5" s="49" t="str">
        <f t="shared" si="2"/>
        <v>n</v>
      </c>
      <c r="J5" s="49" t="str">
        <f t="shared" si="2"/>
        <v>n</v>
      </c>
      <c r="K5" s="49" t="str">
        <f t="shared" si="2"/>
        <v>n</v>
      </c>
      <c r="L5" s="49" t="str">
        <f t="shared" si="2"/>
        <v>n</v>
      </c>
      <c r="M5" s="49" t="str">
        <f t="shared" si="2"/>
        <v>n</v>
      </c>
      <c r="N5" s="49" t="str">
        <f t="shared" si="2"/>
        <v>n</v>
      </c>
      <c r="O5" s="49" t="str">
        <f t="shared" si="2"/>
        <v>n</v>
      </c>
      <c r="P5" s="49" t="str">
        <f t="shared" si="2"/>
        <v>n</v>
      </c>
      <c r="Q5" s="49" t="str">
        <f t="shared" si="2"/>
        <v>n</v>
      </c>
      <c r="R5" s="49" t="str">
        <f t="shared" si="2"/>
        <v>n</v>
      </c>
      <c r="S5" s="49" t="str">
        <f t="shared" si="2"/>
        <v>n</v>
      </c>
      <c r="T5" s="49" t="str">
        <f t="shared" si="2"/>
        <v>n</v>
      </c>
      <c r="U5" s="49" t="str">
        <f t="shared" si="2"/>
        <v>n</v>
      </c>
      <c r="V5" s="49" t="str">
        <f t="shared" si="2"/>
        <v>n</v>
      </c>
      <c r="W5" s="49" t="str">
        <f t="shared" si="2"/>
        <v>n</v>
      </c>
      <c r="X5" s="49" t="str">
        <f t="shared" si="2"/>
        <v>n</v>
      </c>
      <c r="Y5" s="49" t="str">
        <f t="shared" si="2"/>
        <v>n</v>
      </c>
      <c r="Z5" s="49" t="str">
        <f t="shared" si="2"/>
        <v>n</v>
      </c>
      <c r="AA5" s="49" t="str">
        <f t="shared" si="2"/>
        <v>n</v>
      </c>
      <c r="AB5" s="49" t="str">
        <f t="shared" si="2"/>
        <v>n</v>
      </c>
      <c r="AC5" s="49" t="str">
        <f t="shared" si="2"/>
        <v>n</v>
      </c>
      <c r="AD5" s="49" t="str">
        <f t="shared" si="2"/>
        <v>n</v>
      </c>
      <c r="AE5" s="49" t="str">
        <f t="shared" si="2"/>
        <v>n</v>
      </c>
      <c r="AF5" s="49" t="str">
        <f t="shared" si="2"/>
        <v>n</v>
      </c>
      <c r="AG5" s="49" t="str">
        <f t="shared" si="2"/>
        <v>n</v>
      </c>
      <c r="AH5" s="49" t="str">
        <f t="shared" si="2"/>
        <v>n</v>
      </c>
      <c r="AI5" s="49" t="str">
        <f t="shared" si="2"/>
        <v>n</v>
      </c>
      <c r="AJ5" s="49" t="str">
        <f>IF(COUNTIF(AI6:AI21, "*")=16, "y", "n")</f>
        <v>n</v>
      </c>
      <c r="AK5" s="52">
        <f>COUNTIF(C5:AJ5, "y")/COUNTIF(C2:AJ2,"*")</f>
        <v>0</v>
      </c>
      <c r="AL5" s="53"/>
    </row>
    <row r="6" ht="37.5" customHeight="1">
      <c r="A6" s="54" t="s">
        <v>20</v>
      </c>
      <c r="B6" s="55" t="s">
        <v>21</v>
      </c>
      <c r="C6" s="56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  <c r="AC6" s="57"/>
      <c r="AD6" s="57"/>
      <c r="AE6" s="57"/>
      <c r="AF6" s="57"/>
      <c r="AG6" s="57"/>
      <c r="AH6" s="57"/>
      <c r="AI6" s="57"/>
      <c r="AJ6" s="58"/>
      <c r="AK6" s="59">
        <f>COUNTIF(C6:AJ6,"*")/COUNTIF($C$2:$AJ$3,"*")</f>
        <v>0</v>
      </c>
      <c r="AL6" s="3"/>
    </row>
    <row r="7" ht="37.5" customHeight="1">
      <c r="A7" s="24"/>
      <c r="B7" s="61" t="s">
        <v>22</v>
      </c>
      <c r="C7" s="63"/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  <c r="AA7" s="64"/>
      <c r="AB7" s="64"/>
      <c r="AC7" s="64"/>
      <c r="AD7" s="64"/>
      <c r="AE7" s="64"/>
      <c r="AF7" s="64"/>
      <c r="AG7" s="64"/>
      <c r="AH7" s="64"/>
      <c r="AI7" s="64"/>
      <c r="AJ7" s="68"/>
      <c r="AK7" s="69"/>
      <c r="AL7" s="3"/>
      <c r="AM7" s="10"/>
    </row>
    <row r="8" ht="37.5" customHeight="1">
      <c r="A8" s="24"/>
      <c r="B8" s="61" t="s">
        <v>24</v>
      </c>
      <c r="C8" s="63"/>
      <c r="D8" s="64"/>
      <c r="E8" s="64"/>
      <c r="F8" s="64"/>
      <c r="G8" s="64"/>
      <c r="H8" s="64"/>
      <c r="I8" s="64"/>
      <c r="J8" s="64"/>
      <c r="K8" s="64"/>
      <c r="L8" s="64"/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  <c r="AA8" s="64"/>
      <c r="AB8" s="64"/>
      <c r="AC8" s="64"/>
      <c r="AD8" s="64"/>
      <c r="AE8" s="64"/>
      <c r="AF8" s="64"/>
      <c r="AG8" s="64"/>
      <c r="AH8" s="64"/>
      <c r="AI8" s="64"/>
      <c r="AJ8" s="68"/>
      <c r="AK8" s="69"/>
      <c r="AL8" s="3"/>
      <c r="AM8" s="10"/>
    </row>
    <row r="9" ht="37.5" customHeight="1">
      <c r="A9" s="24"/>
      <c r="B9" s="61" t="s">
        <v>25</v>
      </c>
      <c r="C9" s="63"/>
      <c r="D9" s="64"/>
      <c r="E9" s="64"/>
      <c r="F9" s="64"/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  <c r="AA9" s="64"/>
      <c r="AB9" s="64"/>
      <c r="AC9" s="64"/>
      <c r="AD9" s="64"/>
      <c r="AE9" s="64"/>
      <c r="AF9" s="64"/>
      <c r="AG9" s="64"/>
      <c r="AH9" s="64"/>
      <c r="AI9" s="64"/>
      <c r="AJ9" s="68"/>
      <c r="AK9" s="69"/>
      <c r="AL9" s="3"/>
      <c r="AM9" s="10"/>
    </row>
    <row r="10" ht="37.5" customHeight="1">
      <c r="A10" s="24"/>
      <c r="B10" s="61" t="s">
        <v>26</v>
      </c>
      <c r="C10" s="63"/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64"/>
      <c r="AC10" s="64"/>
      <c r="AD10" s="64"/>
      <c r="AE10" s="64"/>
      <c r="AF10" s="64"/>
      <c r="AG10" s="64"/>
      <c r="AH10" s="64"/>
      <c r="AI10" s="64"/>
      <c r="AJ10" s="68"/>
      <c r="AK10" s="69"/>
      <c r="AL10" s="3"/>
      <c r="AM10" s="10"/>
    </row>
    <row r="11" ht="37.5" customHeight="1">
      <c r="A11" s="24"/>
      <c r="B11" s="74" t="s">
        <v>28</v>
      </c>
      <c r="C11" s="75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  <c r="AA11" s="76"/>
      <c r="AB11" s="76"/>
      <c r="AC11" s="76"/>
      <c r="AD11" s="76"/>
      <c r="AE11" s="76"/>
      <c r="AF11" s="76"/>
      <c r="AG11" s="76"/>
      <c r="AH11" s="76"/>
      <c r="AI11" s="76"/>
      <c r="AJ11" s="77"/>
      <c r="AK11" s="78">
        <f t="shared" ref="AK11:AK13" si="3">COUNTIF(C11:AJ11,"*")/COUNTIF($C$2:$AJ$3,"*")</f>
        <v>0</v>
      </c>
      <c r="AL11" s="3"/>
      <c r="AM11" s="62"/>
    </row>
    <row r="12" ht="37.5" customHeight="1">
      <c r="A12" s="80"/>
      <c r="B12" s="81" t="s">
        <v>30</v>
      </c>
      <c r="C12" s="82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s="83"/>
      <c r="AJ12" s="84"/>
      <c r="AK12" s="85">
        <f t="shared" si="3"/>
        <v>0</v>
      </c>
      <c r="AL12" s="3"/>
    </row>
    <row r="13" ht="41.25" customHeight="1">
      <c r="A13" s="54" t="s">
        <v>31</v>
      </c>
      <c r="B13" s="55" t="s">
        <v>33</v>
      </c>
      <c r="C13" s="56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8"/>
      <c r="AK13" s="59">
        <f t="shared" si="3"/>
        <v>0</v>
      </c>
      <c r="AL13" s="3"/>
      <c r="AM13" s="22"/>
    </row>
    <row r="14" ht="41.25" customHeight="1">
      <c r="A14" s="24"/>
      <c r="B14" s="61" t="s">
        <v>34</v>
      </c>
      <c r="C14" s="63"/>
      <c r="D14" s="64"/>
      <c r="E14" s="64"/>
      <c r="F14" s="64"/>
      <c r="G14" s="64"/>
      <c r="H14" s="64"/>
      <c r="I14" s="64"/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4"/>
      <c r="AB14" s="64"/>
      <c r="AC14" s="64"/>
      <c r="AD14" s="64"/>
      <c r="AE14" s="64"/>
      <c r="AF14" s="64"/>
      <c r="AG14" s="64"/>
      <c r="AH14" s="64"/>
      <c r="AI14" s="64"/>
      <c r="AJ14" s="68"/>
      <c r="AK14" s="69"/>
      <c r="AL14" s="3"/>
      <c r="AM14" s="22"/>
    </row>
    <row r="15" ht="41.25" customHeight="1">
      <c r="A15" s="24"/>
      <c r="B15" s="61" t="s">
        <v>35</v>
      </c>
      <c r="C15" s="63"/>
      <c r="D15" s="64"/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64"/>
      <c r="AI15" s="64"/>
      <c r="AJ15" s="68"/>
      <c r="AK15" s="69"/>
      <c r="AL15" s="3"/>
      <c r="AM15" s="22"/>
    </row>
    <row r="16" ht="41.25" customHeight="1">
      <c r="A16" s="24"/>
      <c r="B16" s="61" t="s">
        <v>37</v>
      </c>
      <c r="C16" s="63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8"/>
      <c r="AK16" s="69"/>
      <c r="AL16" s="3"/>
      <c r="AM16" s="22"/>
    </row>
    <row r="17" ht="41.25" customHeight="1">
      <c r="A17" s="24"/>
      <c r="B17" s="61" t="s">
        <v>38</v>
      </c>
      <c r="C17" s="63"/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8"/>
      <c r="AK17" s="69"/>
      <c r="AL17" s="3"/>
      <c r="AM17" s="22"/>
    </row>
    <row r="18" ht="41.25" customHeight="1">
      <c r="A18" s="24"/>
      <c r="B18" s="61" t="s">
        <v>40</v>
      </c>
      <c r="C18" s="63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  <c r="AF18" s="64"/>
      <c r="AG18" s="64"/>
      <c r="AH18" s="64"/>
      <c r="AI18" s="64"/>
      <c r="AJ18" s="68"/>
      <c r="AK18" s="69"/>
      <c r="AL18" s="3"/>
      <c r="AM18" s="22"/>
    </row>
    <row r="19" ht="41.25" customHeight="1">
      <c r="A19" s="24"/>
      <c r="B19" s="61" t="s">
        <v>42</v>
      </c>
      <c r="C19" s="63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AH19" s="64"/>
      <c r="AI19" s="64"/>
      <c r="AJ19" s="68"/>
      <c r="AK19" s="69"/>
      <c r="AL19" s="3"/>
      <c r="AM19" s="22"/>
    </row>
    <row r="20" ht="45.0" customHeight="1">
      <c r="A20" s="24"/>
      <c r="B20" s="74" t="s">
        <v>43</v>
      </c>
      <c r="C20" s="75"/>
      <c r="D20" s="76"/>
      <c r="E20" s="76"/>
      <c r="F20" s="76"/>
      <c r="G20" s="76"/>
      <c r="H20" s="76"/>
      <c r="I20" s="76"/>
      <c r="J20" s="76"/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  <c r="AA20" s="76"/>
      <c r="AB20" s="76"/>
      <c r="AC20" s="76"/>
      <c r="AD20" s="76"/>
      <c r="AE20" s="76"/>
      <c r="AF20" s="76"/>
      <c r="AG20" s="76"/>
      <c r="AH20" s="76"/>
      <c r="AI20" s="76"/>
      <c r="AJ20" s="77"/>
      <c r="AK20" s="78">
        <f t="shared" ref="AK20:AK22" si="4">COUNTIF(C20:AJ20,"*")/COUNTIF($C$2:$AJ$3,"*")</f>
        <v>0</v>
      </c>
      <c r="AL20" s="10"/>
      <c r="AM20" s="22"/>
    </row>
    <row r="21" ht="40.5" customHeight="1">
      <c r="A21" s="80"/>
      <c r="B21" s="81" t="s">
        <v>45</v>
      </c>
      <c r="C21" s="82"/>
      <c r="D21" s="83"/>
      <c r="E21" s="83"/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  <c r="AA21" s="83"/>
      <c r="AB21" s="83"/>
      <c r="AC21" s="83"/>
      <c r="AD21" s="83"/>
      <c r="AE21" s="83"/>
      <c r="AF21" s="83"/>
      <c r="AG21" s="83"/>
      <c r="AH21" s="83"/>
      <c r="AI21" s="83"/>
      <c r="AJ21" s="84"/>
      <c r="AK21" s="85">
        <f t="shared" si="4"/>
        <v>0</v>
      </c>
      <c r="AL21" s="86"/>
      <c r="AM21" s="3"/>
    </row>
    <row r="22" ht="45.0" customHeight="1">
      <c r="A22" s="87" t="s">
        <v>46</v>
      </c>
      <c r="B22" s="88" t="s">
        <v>47</v>
      </c>
      <c r="C22" s="67"/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7"/>
      <c r="AH22" s="57"/>
      <c r="AI22" s="57"/>
      <c r="AJ22" s="58"/>
      <c r="AK22" s="59">
        <f t="shared" si="4"/>
        <v>0</v>
      </c>
      <c r="AL22" s="86"/>
      <c r="AM22" s="3"/>
    </row>
    <row r="23" ht="45.0" customHeight="1">
      <c r="A23" s="89"/>
      <c r="B23" s="90" t="s">
        <v>49</v>
      </c>
      <c r="C23" s="73"/>
      <c r="D23" s="64"/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64"/>
      <c r="AC23" s="64"/>
      <c r="AD23" s="64"/>
      <c r="AE23" s="64"/>
      <c r="AF23" s="64"/>
      <c r="AG23" s="64"/>
      <c r="AH23" s="64"/>
      <c r="AI23" s="64"/>
      <c r="AJ23" s="68"/>
      <c r="AK23" s="69"/>
      <c r="AL23" s="86"/>
      <c r="AM23" s="3"/>
    </row>
    <row r="24" ht="45.0" customHeight="1">
      <c r="A24" s="89"/>
      <c r="B24" s="90" t="s">
        <v>50</v>
      </c>
      <c r="C24" s="73"/>
      <c r="D24" s="64"/>
      <c r="E24" s="64"/>
      <c r="F24" s="64"/>
      <c r="G24" s="64"/>
      <c r="H24" s="64"/>
      <c r="I24" s="64"/>
      <c r="J24" s="64"/>
      <c r="K24" s="64"/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4"/>
      <c r="AB24" s="64"/>
      <c r="AC24" s="64"/>
      <c r="AD24" s="64"/>
      <c r="AE24" s="64"/>
      <c r="AF24" s="64"/>
      <c r="AG24" s="64"/>
      <c r="AH24" s="64"/>
      <c r="AI24" s="64"/>
      <c r="AJ24" s="68"/>
      <c r="AK24" s="69"/>
      <c r="AL24" s="86"/>
      <c r="AM24" s="3"/>
    </row>
    <row r="25" ht="39.75" customHeight="1">
      <c r="A25" s="89"/>
      <c r="B25" s="91" t="s">
        <v>52</v>
      </c>
      <c r="C25" s="92"/>
      <c r="D25" s="76"/>
      <c r="E25" s="76"/>
      <c r="F25" s="76"/>
      <c r="G25" s="76"/>
      <c r="H25" s="76"/>
      <c r="I25" s="76"/>
      <c r="J25" s="76"/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  <c r="W25" s="76"/>
      <c r="X25" s="76"/>
      <c r="Y25" s="76"/>
      <c r="Z25" s="76"/>
      <c r="AA25" s="76"/>
      <c r="AB25" s="76"/>
      <c r="AC25" s="76"/>
      <c r="AD25" s="76"/>
      <c r="AE25" s="76"/>
      <c r="AF25" s="76"/>
      <c r="AG25" s="76"/>
      <c r="AH25" s="76"/>
      <c r="AI25" s="76"/>
      <c r="AJ25" s="77"/>
      <c r="AK25" s="78">
        <f t="shared" ref="AK25:AK26" si="5">COUNTIF(C25:AJ25,"*")/COUNTIF($C$2:$AJ$3,"*")</f>
        <v>0</v>
      </c>
      <c r="AL25" s="86"/>
      <c r="AM25" s="3"/>
    </row>
    <row r="26" ht="43.5" customHeight="1">
      <c r="A26" s="93"/>
      <c r="B26" s="94" t="s">
        <v>54</v>
      </c>
      <c r="C26" s="95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  <c r="AG26" s="83"/>
      <c r="AH26" s="83"/>
      <c r="AI26" s="83"/>
      <c r="AJ26" s="84"/>
      <c r="AK26" s="85">
        <f t="shared" si="5"/>
        <v>0</v>
      </c>
      <c r="AL26" s="86"/>
      <c r="AM26" s="3"/>
    </row>
    <row r="27" ht="14.2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86"/>
      <c r="AM27" s="3"/>
    </row>
    <row r="28" ht="14.2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86"/>
      <c r="AM28" s="3"/>
    </row>
    <row r="29" ht="14.2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86"/>
      <c r="AM29" s="3"/>
    </row>
    <row r="30" ht="14.2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</row>
    <row r="31" ht="14.2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</row>
    <row r="32" ht="14.2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</row>
    <row r="33" ht="14.2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</row>
    <row r="34" ht="14.2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</row>
    <row r="35" ht="14.2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</row>
    <row r="36" ht="14.2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</row>
    <row r="37" ht="14.2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</row>
    <row r="38" ht="14.2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</row>
    <row r="39" ht="14.2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</row>
    <row r="40" ht="14.2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</row>
    <row r="41" ht="14.2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</row>
    <row r="42" ht="14.2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</row>
    <row r="43" ht="14.2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</row>
    <row r="44" ht="14.2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</row>
    <row r="45" ht="14.2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</row>
    <row r="46" ht="14.2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</row>
    <row r="47" ht="14.2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</row>
    <row r="48" ht="14.2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</row>
    <row r="49" ht="14.2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</row>
    <row r="50" ht="14.2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</row>
    <row r="51" ht="14.2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</row>
    <row r="52" ht="14.2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</row>
    <row r="53" ht="14.2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</row>
    <row r="54" ht="14.2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</row>
    <row r="55" ht="14.2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</row>
    <row r="56" ht="14.2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</row>
    <row r="57" ht="14.2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</row>
    <row r="58" ht="14.2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</row>
    <row r="59" ht="14.2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</row>
    <row r="60" ht="14.2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</row>
    <row r="61" ht="14.2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</row>
    <row r="62" ht="14.2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</row>
    <row r="63" ht="14.2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</row>
    <row r="64" ht="14.2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</row>
    <row r="65" ht="14.2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</row>
    <row r="66" ht="14.2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</row>
    <row r="67" ht="14.2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</row>
    <row r="68" ht="14.2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</row>
    <row r="69" ht="14.2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</row>
    <row r="70" ht="14.2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</row>
    <row r="71" ht="14.2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</row>
    <row r="72" ht="14.2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</row>
    <row r="73" ht="14.2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</row>
    <row r="74" ht="14.2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</row>
    <row r="75" ht="14.2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</row>
    <row r="76" ht="14.2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</row>
    <row r="77" ht="14.2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</row>
    <row r="78" ht="14.2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</row>
    <row r="79" ht="14.2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</row>
    <row r="80" ht="14.2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</row>
    <row r="81" ht="14.2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</row>
    <row r="82" ht="14.2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</row>
    <row r="83" ht="14.2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</row>
    <row r="84" ht="14.2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</row>
    <row r="85" ht="14.2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</row>
    <row r="86" ht="14.2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</row>
    <row r="87" ht="14.2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</row>
    <row r="88" ht="14.2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</row>
    <row r="89" ht="14.2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</row>
    <row r="90" ht="14.2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</row>
    <row r="91" ht="14.2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</row>
    <row r="92" ht="14.2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</row>
    <row r="93" ht="14.2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</row>
    <row r="94" ht="14.2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</row>
    <row r="95" ht="14.2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</row>
    <row r="96" ht="14.2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</row>
    <row r="97" ht="14.2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</row>
    <row r="98" ht="14.2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</row>
    <row r="99" ht="14.2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</row>
    <row r="100" ht="14.2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</row>
    <row r="101" ht="14.2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</row>
    <row r="102" ht="14.2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</row>
    <row r="103" ht="14.2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</row>
    <row r="104" ht="14.2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</row>
    <row r="105" ht="14.2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</row>
    <row r="106" ht="14.2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</row>
    <row r="107" ht="14.2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</row>
    <row r="108" ht="14.2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</row>
    <row r="109" ht="14.2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</row>
    <row r="110" ht="14.2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</row>
    <row r="111" ht="14.2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</row>
    <row r="112" ht="14.2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</row>
    <row r="113" ht="14.2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</row>
    <row r="114" ht="14.2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</row>
    <row r="115" ht="14.2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</row>
    <row r="116" ht="14.2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</row>
    <row r="117" ht="14.2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</row>
    <row r="118" ht="14.2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</row>
    <row r="119" ht="14.2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</row>
    <row r="120" ht="14.2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</row>
    <row r="121" ht="14.2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</row>
    <row r="122" ht="14.2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</row>
    <row r="123" ht="14.2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</row>
    <row r="124" ht="14.2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</row>
    <row r="125" ht="14.2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</row>
    <row r="126" ht="14.2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</row>
    <row r="127" ht="14.2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</row>
    <row r="128" ht="14.2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</row>
    <row r="129" ht="14.2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</row>
    <row r="130" ht="14.2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</row>
    <row r="131" ht="14.2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</row>
    <row r="132" ht="14.2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</row>
    <row r="133" ht="14.2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</row>
    <row r="134" ht="14.2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</row>
    <row r="135" ht="14.2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</row>
    <row r="136" ht="14.2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</row>
    <row r="137" ht="14.2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</row>
    <row r="138" ht="14.2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</row>
    <row r="139" ht="14.2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</row>
    <row r="140" ht="14.2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</row>
    <row r="141" ht="14.2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</row>
    <row r="142" ht="14.2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</row>
    <row r="143" ht="14.2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</row>
    <row r="144" ht="14.2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</row>
    <row r="145" ht="14.2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</row>
    <row r="146" ht="14.2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</row>
    <row r="147" ht="14.2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</row>
    <row r="148" ht="14.2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</row>
    <row r="149" ht="14.2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</row>
    <row r="150" ht="14.2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</row>
    <row r="151" ht="14.2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</row>
    <row r="152" ht="14.2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</row>
    <row r="153" ht="14.2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</row>
    <row r="154" ht="14.2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</row>
    <row r="155" ht="14.2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</row>
    <row r="156" ht="14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</row>
    <row r="157" ht="14.2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</row>
    <row r="158" ht="14.2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</row>
    <row r="159" ht="14.2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</row>
    <row r="160" ht="14.2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</row>
    <row r="161" ht="14.2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</row>
    <row r="162" ht="14.2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</row>
    <row r="163" ht="14.2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</row>
    <row r="164" ht="14.2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</row>
    <row r="165" ht="14.2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</row>
    <row r="166" ht="14.2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</row>
    <row r="167" ht="14.2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</row>
    <row r="168" ht="14.2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</row>
    <row r="169" ht="14.2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</row>
    <row r="170" ht="14.2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</row>
    <row r="171" ht="14.2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</row>
    <row r="172" ht="14.2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</row>
    <row r="173" ht="14.2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</row>
    <row r="174" ht="14.2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</row>
    <row r="175" ht="14.2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</row>
    <row r="176" ht="14.2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</row>
    <row r="177" ht="14.2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</row>
    <row r="178" ht="14.2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</row>
    <row r="179" ht="14.2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</row>
    <row r="180" ht="14.2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</row>
    <row r="181" ht="14.2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</row>
    <row r="182" ht="14.2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</row>
    <row r="183" ht="14.2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</row>
    <row r="184" ht="14.2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</row>
    <row r="185" ht="14.2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</row>
    <row r="186" ht="14.2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</row>
    <row r="187" ht="14.2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</row>
    <row r="188" ht="14.2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</row>
    <row r="189" ht="14.2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</row>
    <row r="190" ht="14.2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</row>
    <row r="191" ht="14.2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</row>
    <row r="192" ht="14.2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</row>
    <row r="193" ht="14.2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</row>
    <row r="194" ht="14.2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</row>
    <row r="195" ht="14.2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</row>
    <row r="196" ht="14.2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</row>
    <row r="197" ht="14.2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</row>
    <row r="198" ht="14.2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</row>
    <row r="199" ht="14.2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</row>
    <row r="200" ht="14.2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</row>
    <row r="201" ht="14.2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</row>
    <row r="202" ht="14.2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</row>
    <row r="203" ht="14.2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</row>
    <row r="204" ht="14.2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</row>
    <row r="205" ht="14.2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</row>
    <row r="206" ht="14.2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</row>
    <row r="207" ht="14.2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</row>
    <row r="208" ht="14.2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</row>
    <row r="209" ht="14.2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</row>
    <row r="210" ht="14.2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</row>
    <row r="211" ht="14.2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</row>
    <row r="212" ht="14.2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</row>
    <row r="213" ht="14.2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</row>
    <row r="214" ht="14.2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</row>
    <row r="215" ht="14.2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</row>
    <row r="216" ht="14.2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</row>
    <row r="217" ht="14.2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</row>
    <row r="218" ht="14.2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</row>
    <row r="219" ht="14.2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</row>
    <row r="220" ht="14.2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</row>
    <row r="221" ht="14.2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</row>
    <row r="222" ht="14.2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</row>
    <row r="223" ht="14.2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</row>
    <row r="224" ht="14.2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</row>
    <row r="225" ht="14.2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</row>
    <row r="226" ht="14.2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</row>
    <row r="227" ht="14.2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</row>
    <row r="228" ht="14.2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</row>
    <row r="229" ht="14.2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</row>
    <row r="230" ht="14.2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</row>
    <row r="231" ht="14.2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</row>
    <row r="232" ht="14.2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</row>
    <row r="233" ht="14.2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</row>
    <row r="234" ht="14.2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</row>
    <row r="235" ht="14.2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</row>
    <row r="236" ht="14.2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</row>
    <row r="237" ht="14.2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</row>
    <row r="238" ht="14.2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</row>
    <row r="239" ht="14.2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</row>
    <row r="240" ht="14.2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</row>
    <row r="241" ht="14.2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</row>
    <row r="242" ht="14.2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</row>
    <row r="243" ht="14.2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</row>
    <row r="244" ht="14.2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</row>
    <row r="245" ht="14.2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</row>
    <row r="246" ht="14.2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</row>
    <row r="247" ht="14.2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</row>
    <row r="248" ht="14.2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</row>
    <row r="249" ht="14.2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</row>
    <row r="250" ht="14.2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</row>
    <row r="251" ht="14.2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</row>
    <row r="252" ht="14.2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</row>
    <row r="253" ht="14.2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</row>
    <row r="254" ht="14.2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</row>
    <row r="255" ht="14.2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</row>
    <row r="256" ht="14.2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</row>
    <row r="257" ht="14.2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</row>
    <row r="258" ht="14.2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</row>
    <row r="259" ht="14.2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</row>
    <row r="260" ht="14.2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</row>
    <row r="261" ht="14.2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</row>
    <row r="262" ht="14.2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</row>
    <row r="263" ht="14.2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</row>
    <row r="264" ht="14.2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</row>
    <row r="265" ht="14.2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</row>
    <row r="266" ht="14.2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</row>
    <row r="267" ht="14.2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</row>
    <row r="268" ht="14.2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</row>
    <row r="269" ht="14.2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</row>
    <row r="270" ht="14.2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</row>
    <row r="271" ht="14.2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</row>
    <row r="272" ht="14.2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</row>
    <row r="273" ht="14.2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</row>
    <row r="274" ht="14.2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</row>
    <row r="275" ht="14.2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</row>
    <row r="276" ht="14.2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</row>
    <row r="277" ht="14.2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</row>
    <row r="278" ht="14.2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</row>
    <row r="279" ht="14.2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</row>
    <row r="280" ht="14.2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</row>
    <row r="281" ht="14.2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</row>
    <row r="282" ht="14.2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</row>
    <row r="283" ht="14.2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</row>
    <row r="284" ht="14.2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</row>
    <row r="285" ht="14.2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</row>
    <row r="286" ht="14.2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</row>
    <row r="287" ht="14.2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</row>
    <row r="288" ht="14.2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</row>
    <row r="289" ht="14.2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</row>
    <row r="290" ht="14.2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</row>
    <row r="291" ht="14.2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</row>
    <row r="292" ht="14.2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</row>
    <row r="293" ht="14.2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</row>
    <row r="294" ht="14.2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</row>
    <row r="295" ht="14.2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</row>
    <row r="296" ht="14.2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</row>
    <row r="297" ht="14.2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</row>
    <row r="298" ht="14.2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</row>
    <row r="299" ht="14.2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</row>
    <row r="300" ht="14.2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</row>
    <row r="301" ht="14.2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</row>
    <row r="302" ht="14.2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</row>
    <row r="303" ht="14.2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</row>
    <row r="304" ht="14.2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</row>
    <row r="305" ht="14.2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</row>
    <row r="306" ht="14.2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</row>
    <row r="307" ht="14.2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</row>
    <row r="308" ht="14.2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</row>
    <row r="309" ht="14.2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</row>
    <row r="310" ht="14.2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</row>
    <row r="311" ht="14.2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</row>
    <row r="312" ht="14.2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</row>
    <row r="313" ht="14.2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</row>
    <row r="314" ht="14.2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</row>
    <row r="315" ht="14.2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</row>
    <row r="316" ht="14.2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</row>
    <row r="317" ht="14.2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</row>
    <row r="318" ht="14.2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</row>
    <row r="319" ht="14.2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</row>
    <row r="320" ht="14.2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</row>
    <row r="321" ht="14.2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</row>
    <row r="322" ht="14.2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</row>
    <row r="323" ht="14.2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</row>
    <row r="324" ht="14.2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</row>
    <row r="325" ht="14.2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</row>
    <row r="326" ht="14.2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</row>
    <row r="327" ht="14.2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</row>
    <row r="328" ht="14.2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</row>
    <row r="329" ht="14.2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</row>
    <row r="330" ht="14.2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</row>
    <row r="331" ht="14.2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</row>
    <row r="332" ht="14.2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</row>
    <row r="333" ht="14.2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</row>
    <row r="334" ht="14.2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</row>
    <row r="335" ht="14.2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</row>
    <row r="336" ht="14.2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</row>
    <row r="337" ht="14.2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</row>
    <row r="338" ht="14.2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</row>
    <row r="339" ht="14.2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</row>
    <row r="340" ht="14.2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</row>
    <row r="341" ht="14.2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</row>
    <row r="342" ht="14.2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</row>
    <row r="343" ht="14.2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</row>
    <row r="344" ht="14.2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</row>
    <row r="345" ht="14.2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</row>
    <row r="346" ht="14.2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</row>
    <row r="347" ht="14.2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</row>
    <row r="348" ht="14.2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</row>
    <row r="349" ht="14.2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</row>
    <row r="350" ht="14.2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</row>
    <row r="351" ht="14.2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</row>
    <row r="352" ht="14.2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</row>
    <row r="353" ht="14.2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</row>
    <row r="354" ht="14.2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</row>
    <row r="355" ht="14.2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</row>
    <row r="356" ht="14.2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</row>
    <row r="357" ht="14.2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</row>
    <row r="358" ht="14.2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</row>
    <row r="359" ht="14.2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</row>
    <row r="360" ht="14.2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</row>
    <row r="361" ht="14.2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</row>
    <row r="362" ht="14.2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</row>
    <row r="363" ht="14.2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</row>
    <row r="364" ht="14.2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</row>
    <row r="365" ht="14.2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</row>
    <row r="366" ht="14.2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</row>
    <row r="367" ht="14.2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</row>
    <row r="368" ht="14.2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</row>
    <row r="369" ht="14.2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</row>
    <row r="370" ht="14.2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</row>
    <row r="371" ht="14.2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</row>
    <row r="372" ht="14.2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</row>
    <row r="373" ht="14.2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</row>
    <row r="374" ht="14.2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</row>
    <row r="375" ht="14.2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</row>
    <row r="376" ht="14.2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</row>
    <row r="377" ht="14.2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</row>
    <row r="378" ht="14.2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</row>
    <row r="379" ht="14.2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</row>
    <row r="380" ht="14.2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</row>
    <row r="381" ht="14.2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</row>
    <row r="382" ht="14.2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</row>
    <row r="383" ht="14.2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</row>
    <row r="384" ht="14.2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</row>
    <row r="385" ht="14.2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</row>
    <row r="386" ht="14.2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</row>
    <row r="387" ht="14.2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</row>
    <row r="388" ht="14.2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</row>
    <row r="389" ht="14.2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</row>
    <row r="390" ht="14.2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</row>
    <row r="391" ht="14.2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</row>
    <row r="392" ht="14.2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</row>
    <row r="393" ht="14.2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</row>
    <row r="394" ht="14.2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</row>
    <row r="395" ht="14.2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</row>
    <row r="396" ht="14.2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</row>
    <row r="397" ht="14.2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</row>
    <row r="398" ht="14.2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</row>
    <row r="399" ht="14.2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</row>
    <row r="400" ht="14.2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</row>
    <row r="401" ht="14.2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</row>
    <row r="402" ht="14.2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</row>
    <row r="403" ht="14.2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</row>
    <row r="404" ht="14.2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</row>
    <row r="405" ht="14.2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</row>
    <row r="406" ht="14.2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</row>
    <row r="407" ht="14.2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</row>
    <row r="408" ht="14.2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</row>
    <row r="409" ht="14.2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</row>
    <row r="410" ht="14.2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</row>
    <row r="411" ht="14.2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</row>
    <row r="412" ht="14.2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</row>
    <row r="413" ht="14.2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</row>
    <row r="414" ht="14.2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</row>
    <row r="415" ht="14.2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</row>
    <row r="416" ht="14.2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</row>
    <row r="417" ht="14.2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</row>
    <row r="418" ht="14.2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</row>
    <row r="419" ht="14.2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</row>
    <row r="420" ht="14.2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</row>
    <row r="421" ht="14.2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</row>
    <row r="422" ht="14.2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</row>
    <row r="423" ht="14.2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</row>
    <row r="424" ht="14.2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</row>
    <row r="425" ht="14.2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</row>
    <row r="426" ht="14.2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</row>
    <row r="427" ht="14.2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</row>
    <row r="428" ht="14.2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</row>
    <row r="429" ht="14.2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</row>
    <row r="430" ht="14.2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</row>
    <row r="431" ht="14.2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</row>
    <row r="432" ht="14.2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</row>
    <row r="433" ht="14.2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</row>
    <row r="434" ht="14.2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</row>
    <row r="435" ht="14.2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</row>
    <row r="436" ht="14.2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</row>
    <row r="437" ht="14.2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</row>
    <row r="438" ht="14.2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</row>
    <row r="439" ht="14.2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</row>
    <row r="440" ht="14.2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</row>
    <row r="441" ht="14.2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</row>
    <row r="442" ht="14.2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</row>
    <row r="443" ht="14.2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</row>
    <row r="444" ht="14.2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</row>
    <row r="445" ht="14.2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</row>
    <row r="446" ht="14.2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</row>
    <row r="447" ht="14.2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</row>
    <row r="448" ht="14.2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</row>
    <row r="449" ht="14.2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</row>
    <row r="450" ht="14.2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</row>
    <row r="451" ht="14.2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</row>
    <row r="452" ht="14.2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</row>
    <row r="453" ht="14.2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</row>
    <row r="454" ht="14.2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</row>
    <row r="455" ht="14.2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</row>
    <row r="456" ht="14.2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</row>
    <row r="457" ht="14.2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</row>
    <row r="458" ht="14.2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</row>
    <row r="459" ht="14.2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</row>
    <row r="460" ht="14.2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</row>
    <row r="461" ht="14.2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</row>
    <row r="462" ht="14.2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</row>
    <row r="463" ht="14.2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</row>
    <row r="464" ht="14.2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</row>
    <row r="465" ht="14.2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</row>
    <row r="466" ht="14.2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</row>
    <row r="467" ht="14.2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</row>
    <row r="468" ht="14.2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</row>
    <row r="469" ht="14.2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</row>
    <row r="470" ht="14.2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</row>
    <row r="471" ht="14.2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</row>
    <row r="472" ht="14.2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</row>
    <row r="473" ht="14.2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</row>
    <row r="474" ht="14.2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</row>
    <row r="475" ht="14.2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</row>
    <row r="476" ht="14.2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</row>
    <row r="477" ht="14.2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</row>
    <row r="478" ht="14.2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</row>
    <row r="479" ht="14.2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</row>
    <row r="480" ht="14.2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</row>
    <row r="481" ht="14.2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</row>
    <row r="482" ht="14.2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</row>
    <row r="483" ht="14.2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</row>
    <row r="484" ht="14.2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</row>
    <row r="485" ht="14.2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</row>
    <row r="486" ht="14.2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</row>
    <row r="487" ht="14.2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</row>
    <row r="488" ht="14.2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</row>
    <row r="489" ht="14.2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</row>
    <row r="490" ht="14.2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</row>
    <row r="491" ht="14.2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</row>
    <row r="492" ht="14.2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</row>
    <row r="493" ht="14.2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</row>
    <row r="494" ht="14.2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</row>
    <row r="495" ht="14.2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</row>
    <row r="496" ht="14.2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</row>
    <row r="497" ht="14.2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</row>
    <row r="498" ht="14.2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</row>
    <row r="499" ht="14.2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</row>
    <row r="500" ht="14.2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</row>
    <row r="501" ht="14.2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</row>
    <row r="502" ht="14.2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</row>
    <row r="503" ht="14.2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</row>
    <row r="504" ht="14.2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</row>
    <row r="505" ht="14.2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</row>
    <row r="506" ht="14.2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</row>
    <row r="507" ht="14.2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</row>
    <row r="508" ht="14.2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</row>
    <row r="509" ht="14.2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</row>
    <row r="510" ht="14.2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</row>
    <row r="511" ht="14.2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</row>
    <row r="512" ht="14.2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</row>
    <row r="513" ht="14.2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</row>
    <row r="514" ht="14.2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</row>
    <row r="515" ht="14.2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</row>
    <row r="516" ht="14.2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</row>
    <row r="517" ht="14.2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</row>
    <row r="518" ht="14.2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</row>
    <row r="519" ht="14.2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</row>
    <row r="520" ht="14.2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</row>
    <row r="521" ht="14.2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</row>
    <row r="522" ht="14.2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</row>
    <row r="523" ht="14.2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</row>
    <row r="524" ht="14.2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</row>
    <row r="525" ht="14.2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</row>
    <row r="526" ht="14.2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</row>
    <row r="527" ht="14.2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</row>
    <row r="528" ht="14.2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</row>
    <row r="529" ht="14.2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</row>
    <row r="530" ht="14.2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</row>
    <row r="531" ht="14.2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</row>
    <row r="532" ht="14.2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</row>
    <row r="533" ht="14.2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</row>
    <row r="534" ht="14.2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</row>
    <row r="535" ht="14.2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</row>
    <row r="536" ht="14.2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</row>
    <row r="537" ht="14.2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</row>
    <row r="538" ht="14.2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</row>
    <row r="539" ht="14.2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</row>
    <row r="540" ht="14.2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</row>
    <row r="541" ht="14.2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</row>
    <row r="542" ht="14.2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</row>
    <row r="543" ht="14.2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</row>
    <row r="544" ht="14.2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</row>
    <row r="545" ht="14.2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</row>
    <row r="546" ht="14.2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</row>
    <row r="547" ht="14.2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</row>
    <row r="548" ht="14.2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</row>
    <row r="549" ht="14.2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</row>
    <row r="550" ht="14.2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</row>
    <row r="551" ht="14.2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</row>
    <row r="552" ht="14.2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</row>
    <row r="553" ht="14.2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</row>
    <row r="554" ht="14.2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</row>
    <row r="555" ht="14.2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</row>
    <row r="556" ht="14.2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</row>
    <row r="557" ht="14.2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</row>
    <row r="558" ht="14.2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</row>
    <row r="559" ht="14.2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</row>
    <row r="560" ht="14.2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</row>
    <row r="561" ht="14.2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</row>
    <row r="562" ht="14.2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</row>
    <row r="563" ht="14.2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</row>
    <row r="564" ht="14.2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</row>
    <row r="565" ht="14.2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</row>
    <row r="566" ht="14.2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</row>
    <row r="567" ht="14.2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</row>
    <row r="568" ht="14.2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</row>
    <row r="569" ht="14.2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</row>
    <row r="570" ht="14.2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</row>
    <row r="571" ht="14.2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</row>
    <row r="572" ht="14.2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</row>
    <row r="573" ht="14.2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</row>
    <row r="574" ht="14.2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</row>
    <row r="575" ht="14.2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</row>
    <row r="576" ht="14.2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</row>
    <row r="577" ht="14.2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</row>
    <row r="578" ht="14.2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</row>
    <row r="579" ht="14.2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</row>
    <row r="580" ht="14.2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</row>
    <row r="581" ht="14.2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</row>
    <row r="582" ht="14.2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</row>
    <row r="583" ht="14.2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</row>
    <row r="584" ht="14.2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</row>
    <row r="585" ht="14.2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</row>
    <row r="586" ht="14.2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</row>
    <row r="587" ht="14.2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</row>
    <row r="588" ht="14.2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</row>
    <row r="589" ht="14.2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</row>
    <row r="590" ht="14.2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</row>
    <row r="591" ht="14.2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</row>
    <row r="592" ht="14.2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</row>
    <row r="593" ht="14.2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</row>
    <row r="594" ht="14.2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</row>
    <row r="595" ht="14.2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</row>
    <row r="596" ht="14.2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</row>
    <row r="597" ht="14.2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</row>
    <row r="598" ht="14.2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</row>
    <row r="599" ht="14.2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</row>
    <row r="600" ht="14.2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</row>
    <row r="601" ht="14.2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</row>
    <row r="602" ht="14.2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</row>
    <row r="603" ht="14.2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</row>
    <row r="604" ht="14.2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</row>
    <row r="605" ht="14.2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</row>
    <row r="606" ht="14.2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</row>
    <row r="607" ht="14.2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</row>
    <row r="608" ht="14.2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</row>
    <row r="609" ht="14.2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</row>
    <row r="610" ht="14.2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</row>
    <row r="611" ht="14.2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</row>
    <row r="612" ht="14.2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</row>
    <row r="613" ht="14.2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</row>
    <row r="614" ht="14.2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</row>
    <row r="615" ht="14.2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</row>
    <row r="616" ht="14.2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</row>
    <row r="617" ht="14.2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</row>
    <row r="618" ht="14.2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</row>
    <row r="619" ht="14.2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</row>
    <row r="620" ht="14.2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</row>
    <row r="621" ht="14.2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</row>
    <row r="622" ht="14.2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</row>
    <row r="623" ht="14.2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</row>
    <row r="624" ht="14.2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</row>
    <row r="625" ht="14.2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</row>
    <row r="626" ht="14.2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</row>
    <row r="627" ht="14.2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</row>
    <row r="628" ht="14.2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</row>
    <row r="629" ht="14.2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</row>
    <row r="630" ht="14.2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</row>
    <row r="631" ht="14.2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</row>
    <row r="632" ht="14.2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</row>
    <row r="633" ht="14.2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</row>
    <row r="634" ht="14.2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</row>
    <row r="635" ht="14.2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</row>
    <row r="636" ht="14.2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</row>
    <row r="637" ht="14.2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</row>
    <row r="638" ht="14.2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</row>
    <row r="639" ht="14.2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</row>
    <row r="640" ht="14.2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</row>
    <row r="641" ht="14.2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</row>
    <row r="642" ht="14.2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</row>
    <row r="643" ht="14.2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</row>
    <row r="644" ht="14.2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</row>
    <row r="645" ht="14.2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</row>
    <row r="646" ht="14.2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</row>
    <row r="647" ht="14.2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</row>
    <row r="648" ht="14.2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</row>
    <row r="649" ht="14.2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</row>
    <row r="650" ht="14.2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</row>
    <row r="651" ht="14.2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</row>
    <row r="652" ht="14.2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</row>
    <row r="653" ht="14.2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</row>
    <row r="654" ht="14.2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</row>
    <row r="655" ht="14.2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</row>
    <row r="656" ht="14.2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</row>
    <row r="657" ht="14.2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</row>
    <row r="658" ht="14.2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</row>
    <row r="659" ht="14.2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</row>
    <row r="660" ht="14.2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</row>
    <row r="661" ht="14.2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</row>
    <row r="662" ht="14.2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</row>
    <row r="663" ht="14.2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</row>
    <row r="664" ht="14.2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</row>
    <row r="665" ht="14.2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</row>
    <row r="666" ht="14.2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</row>
    <row r="667" ht="14.2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</row>
    <row r="668" ht="14.2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</row>
    <row r="669" ht="14.2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</row>
    <row r="670" ht="14.2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</row>
    <row r="671" ht="14.2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</row>
    <row r="672" ht="14.2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</row>
    <row r="673" ht="14.2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</row>
    <row r="674" ht="14.2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</row>
    <row r="675" ht="14.2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</row>
    <row r="676" ht="14.2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</row>
    <row r="677" ht="14.2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</row>
    <row r="678" ht="14.2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</row>
    <row r="679" ht="14.2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</row>
    <row r="680" ht="14.2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</row>
    <row r="681" ht="14.2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</row>
    <row r="682" ht="14.2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</row>
    <row r="683" ht="14.2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</row>
    <row r="684" ht="14.2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</row>
    <row r="685" ht="14.2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</row>
    <row r="686" ht="14.2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</row>
    <row r="687" ht="14.2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</row>
    <row r="688" ht="14.2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</row>
    <row r="689" ht="14.2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</row>
    <row r="690" ht="14.2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</row>
    <row r="691" ht="14.2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</row>
    <row r="692" ht="14.2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</row>
    <row r="693" ht="14.2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</row>
    <row r="694" ht="14.2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</row>
    <row r="695" ht="14.2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</row>
    <row r="696" ht="14.2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</row>
    <row r="697" ht="14.2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</row>
    <row r="698" ht="14.2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</row>
    <row r="699" ht="14.2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</row>
    <row r="700" ht="14.2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</row>
    <row r="701" ht="14.2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</row>
    <row r="702" ht="14.2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</row>
    <row r="703" ht="14.2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</row>
    <row r="704" ht="14.2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</row>
    <row r="705" ht="14.2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</row>
    <row r="706" ht="14.2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</row>
    <row r="707" ht="14.2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</row>
    <row r="708" ht="14.2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</row>
    <row r="709" ht="14.2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</row>
    <row r="710" ht="14.2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</row>
    <row r="711" ht="14.2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</row>
    <row r="712" ht="14.2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</row>
    <row r="713" ht="14.2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</row>
    <row r="714" ht="14.2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</row>
    <row r="715" ht="14.2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</row>
    <row r="716" ht="14.2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</row>
    <row r="717" ht="14.2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</row>
    <row r="718" ht="14.2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</row>
    <row r="719" ht="14.2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</row>
    <row r="720" ht="14.2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</row>
    <row r="721" ht="14.2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</row>
    <row r="722" ht="14.2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</row>
    <row r="723" ht="14.2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</row>
    <row r="724" ht="14.2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</row>
    <row r="725" ht="14.2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</row>
    <row r="726" ht="14.2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</row>
    <row r="727" ht="14.2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</row>
    <row r="728" ht="14.2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</row>
    <row r="729" ht="14.2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</row>
    <row r="730" ht="14.2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</row>
    <row r="731" ht="14.2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</row>
    <row r="732" ht="14.2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</row>
    <row r="733" ht="14.2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</row>
    <row r="734" ht="14.2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</row>
    <row r="735" ht="14.2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</row>
    <row r="736" ht="14.2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</row>
    <row r="737" ht="14.2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</row>
    <row r="738" ht="14.2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</row>
    <row r="739" ht="14.2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</row>
    <row r="740" ht="14.2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</row>
    <row r="741" ht="14.2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</row>
    <row r="742" ht="14.2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</row>
    <row r="743" ht="14.2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</row>
    <row r="744" ht="14.2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</row>
    <row r="745" ht="14.2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</row>
    <row r="746" ht="14.2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</row>
    <row r="747" ht="14.2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</row>
    <row r="748" ht="14.2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</row>
    <row r="749" ht="14.2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</row>
    <row r="750" ht="14.2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</row>
    <row r="751" ht="14.2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</row>
    <row r="752" ht="14.2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</row>
    <row r="753" ht="14.2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</row>
    <row r="754" ht="14.2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</row>
    <row r="755" ht="14.2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</row>
    <row r="756" ht="14.2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</row>
    <row r="757" ht="14.2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</row>
    <row r="758" ht="14.2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</row>
    <row r="759" ht="14.2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</row>
    <row r="760" ht="14.2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</row>
    <row r="761" ht="14.2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</row>
    <row r="762" ht="14.2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</row>
    <row r="763" ht="14.2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</row>
    <row r="764" ht="14.2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</row>
    <row r="765" ht="14.2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</row>
    <row r="766" ht="14.2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</row>
    <row r="767" ht="14.2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</row>
    <row r="768" ht="14.2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</row>
    <row r="769" ht="14.2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</row>
    <row r="770" ht="14.2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</row>
    <row r="771" ht="14.2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</row>
    <row r="772" ht="14.2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</row>
    <row r="773" ht="14.2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</row>
    <row r="774" ht="14.2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</row>
    <row r="775" ht="14.2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</row>
    <row r="776" ht="14.2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</row>
    <row r="777" ht="14.2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</row>
    <row r="778" ht="14.2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</row>
    <row r="779" ht="14.2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</row>
    <row r="780" ht="14.2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</row>
    <row r="781" ht="14.2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</row>
    <row r="782" ht="14.2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</row>
    <row r="783" ht="14.2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</row>
    <row r="784" ht="14.2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</row>
    <row r="785" ht="14.2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</row>
    <row r="786" ht="14.2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</row>
    <row r="787" ht="14.2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</row>
    <row r="788" ht="14.2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</row>
    <row r="789" ht="14.2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</row>
    <row r="790" ht="14.2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</row>
    <row r="791" ht="14.2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</row>
    <row r="792" ht="14.2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</row>
    <row r="793" ht="14.2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</row>
    <row r="794" ht="14.2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</row>
    <row r="795" ht="14.2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</row>
    <row r="796" ht="14.2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</row>
    <row r="797" ht="14.2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</row>
    <row r="798" ht="14.2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</row>
    <row r="799" ht="14.2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</row>
    <row r="800" ht="14.2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</row>
    <row r="801" ht="14.2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</row>
    <row r="802" ht="14.2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</row>
    <row r="803" ht="14.2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</row>
    <row r="804" ht="14.2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</row>
    <row r="805" ht="14.2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</row>
    <row r="806" ht="14.2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</row>
    <row r="807" ht="14.2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</row>
    <row r="808" ht="14.2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</row>
    <row r="809" ht="14.2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</row>
    <row r="810" ht="14.2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</row>
    <row r="811" ht="14.2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</row>
    <row r="812" ht="14.2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</row>
    <row r="813" ht="14.2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</row>
    <row r="814" ht="14.2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</row>
    <row r="815" ht="14.2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</row>
    <row r="816" ht="14.2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</row>
    <row r="817" ht="14.2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</row>
    <row r="818" ht="14.2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</row>
    <row r="819" ht="14.2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</row>
    <row r="820" ht="14.2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</row>
    <row r="821" ht="14.2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</row>
    <row r="822" ht="14.2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</row>
    <row r="823" ht="14.2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</row>
    <row r="824" ht="14.2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</row>
    <row r="825" ht="14.2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</row>
    <row r="826" ht="14.2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</row>
    <row r="827" ht="14.2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</row>
    <row r="828" ht="14.2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</row>
    <row r="829" ht="14.2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</row>
    <row r="830" ht="14.2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</row>
    <row r="831" ht="14.2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</row>
    <row r="832" ht="14.2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</row>
    <row r="833" ht="14.2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</row>
    <row r="834" ht="14.2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</row>
    <row r="835" ht="14.2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</row>
    <row r="836" ht="14.2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</row>
    <row r="837" ht="14.2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</row>
    <row r="838" ht="14.2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</row>
    <row r="839" ht="14.2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</row>
    <row r="840" ht="14.2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</row>
    <row r="841" ht="14.2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</row>
    <row r="842" ht="14.2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</row>
    <row r="843" ht="14.2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</row>
    <row r="844" ht="14.2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</row>
    <row r="845" ht="14.2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</row>
    <row r="846" ht="14.2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</row>
    <row r="847" ht="14.2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</row>
    <row r="848" ht="14.2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</row>
    <row r="849" ht="14.2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</row>
    <row r="850" ht="14.2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</row>
    <row r="851" ht="14.2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</row>
    <row r="852" ht="14.2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</row>
    <row r="853" ht="14.2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</row>
    <row r="854" ht="14.2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</row>
    <row r="855" ht="14.2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</row>
    <row r="856" ht="14.2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</row>
    <row r="857" ht="14.2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</row>
    <row r="858" ht="14.2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</row>
    <row r="859" ht="14.2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</row>
    <row r="860" ht="14.2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</row>
    <row r="861" ht="14.2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</row>
    <row r="862" ht="14.2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</row>
    <row r="863" ht="14.2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</row>
    <row r="864" ht="14.2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</row>
    <row r="865" ht="14.2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</row>
    <row r="866" ht="14.2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</row>
    <row r="867" ht="14.2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</row>
    <row r="868" ht="14.2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</row>
    <row r="869" ht="14.2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</row>
    <row r="870" ht="14.2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</row>
    <row r="871" ht="14.2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</row>
    <row r="872" ht="14.2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</row>
    <row r="873" ht="14.2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</row>
    <row r="874" ht="14.2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</row>
    <row r="875" ht="14.2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</row>
    <row r="876" ht="14.2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</row>
    <row r="877" ht="14.2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</row>
    <row r="878" ht="14.2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</row>
    <row r="879" ht="14.2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</row>
    <row r="880" ht="14.2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</row>
    <row r="881" ht="14.2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</row>
    <row r="882" ht="14.2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</row>
    <row r="883" ht="14.2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</row>
    <row r="884" ht="14.2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</row>
    <row r="885" ht="14.2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</row>
    <row r="886" ht="14.2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</row>
    <row r="887" ht="14.2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</row>
    <row r="888" ht="14.2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</row>
    <row r="889" ht="14.2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</row>
    <row r="890" ht="14.2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</row>
    <row r="891" ht="14.2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</row>
    <row r="892" ht="14.2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</row>
    <row r="893" ht="14.2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</row>
    <row r="894" ht="14.2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</row>
    <row r="895" ht="14.2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</row>
    <row r="896" ht="14.2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</row>
    <row r="897" ht="14.2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</row>
    <row r="898" ht="14.2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</row>
    <row r="899" ht="14.2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</row>
    <row r="900" ht="14.2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</row>
    <row r="901" ht="14.2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</row>
    <row r="902" ht="14.2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</row>
    <row r="903" ht="14.2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</row>
    <row r="904" ht="14.2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</row>
    <row r="905" ht="14.2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</row>
    <row r="906" ht="14.2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</row>
    <row r="907" ht="14.2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</row>
    <row r="908" ht="14.2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</row>
    <row r="909" ht="14.2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</row>
    <row r="910" ht="14.2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</row>
    <row r="911" ht="14.2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</row>
    <row r="912" ht="14.2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</row>
    <row r="913" ht="14.2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</row>
    <row r="914" ht="14.2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</row>
    <row r="915" ht="14.2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</row>
    <row r="916" ht="14.2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</row>
    <row r="917" ht="14.2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</row>
    <row r="918" ht="14.2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</row>
    <row r="919" ht="14.2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</row>
    <row r="920" ht="14.2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</row>
    <row r="921" ht="14.2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</row>
    <row r="922" ht="14.2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</row>
    <row r="923" ht="14.2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</row>
    <row r="924" ht="14.2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</row>
    <row r="925" ht="14.2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</row>
    <row r="926" ht="14.2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</row>
    <row r="927" ht="14.2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</row>
    <row r="928" ht="14.2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</row>
    <row r="929" ht="14.2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</row>
    <row r="930" ht="14.2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</row>
    <row r="931" ht="14.2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</row>
    <row r="932" ht="14.2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</row>
    <row r="933" ht="14.2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</row>
    <row r="934" ht="14.2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</row>
    <row r="935" ht="14.2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</row>
    <row r="936" ht="14.2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</row>
    <row r="937" ht="14.2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</row>
    <row r="938" ht="14.2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</row>
    <row r="939" ht="14.2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</row>
    <row r="940" ht="14.2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</row>
    <row r="941" ht="14.2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</row>
    <row r="942" ht="14.2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</row>
    <row r="943" ht="14.2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</row>
    <row r="944" ht="14.2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</row>
    <row r="945" ht="14.2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</row>
    <row r="946" ht="14.2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</row>
    <row r="947" ht="14.2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</row>
    <row r="948" ht="14.2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</row>
    <row r="949" ht="14.2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</row>
    <row r="950" ht="14.2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</row>
    <row r="951" ht="14.2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</row>
    <row r="952" ht="14.2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</row>
    <row r="953" ht="14.2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</row>
    <row r="954" ht="14.2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</row>
    <row r="955" ht="14.2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</row>
    <row r="956" ht="14.2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</row>
    <row r="957" ht="14.2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</row>
    <row r="958" ht="14.2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</row>
    <row r="959" ht="14.2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</row>
    <row r="960" ht="14.2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</row>
    <row r="961" ht="14.2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</row>
    <row r="962" ht="14.2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</row>
    <row r="963" ht="14.2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</row>
    <row r="964" ht="14.2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</row>
    <row r="965" ht="14.2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</row>
    <row r="966" ht="14.2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</row>
    <row r="967" ht="14.2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</row>
    <row r="968" ht="14.2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</row>
    <row r="969" ht="14.2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</row>
    <row r="970" ht="14.2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</row>
    <row r="971" ht="14.2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</row>
    <row r="972" ht="14.2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</row>
    <row r="973" ht="14.2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</row>
    <row r="974" ht="14.2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</row>
    <row r="975" ht="14.2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</row>
    <row r="976" ht="14.2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</row>
    <row r="977" ht="14.2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</row>
    <row r="978" ht="14.2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</row>
    <row r="979" ht="14.2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</row>
    <row r="980" ht="14.2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</row>
    <row r="981" ht="14.2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</row>
    <row r="982" ht="14.2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</row>
    <row r="983" ht="14.2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</row>
    <row r="984" ht="14.2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</row>
    <row r="985" ht="14.2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</row>
    <row r="986" ht="14.2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</row>
    <row r="987" ht="14.2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</row>
    <row r="988" ht="14.2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</row>
    <row r="989" ht="14.2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</row>
    <row r="990" ht="14.2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</row>
    <row r="991" ht="14.2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</row>
    <row r="992" ht="14.2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</row>
    <row r="993" ht="14.2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</row>
    <row r="994" ht="14.2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</row>
    <row r="995" ht="14.2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</row>
    <row r="996" ht="14.2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</row>
    <row r="997" ht="14.2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</row>
    <row r="998" ht="14.2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</row>
    <row r="999" ht="14.2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</row>
    <row r="1000" ht="14.2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</row>
  </sheetData>
  <mergeCells count="44">
    <mergeCell ref="T2:T3"/>
    <mergeCell ref="U2:U3"/>
    <mergeCell ref="V2:V3"/>
    <mergeCell ref="W2:W3"/>
    <mergeCell ref="X2:X3"/>
    <mergeCell ref="Y2:Y3"/>
    <mergeCell ref="Z2:Z3"/>
    <mergeCell ref="AH2:AH3"/>
    <mergeCell ref="AI2:AI3"/>
    <mergeCell ref="AJ2:AJ3"/>
    <mergeCell ref="AM3:AM6"/>
    <mergeCell ref="AM11:AM12"/>
    <mergeCell ref="AA2:AA3"/>
    <mergeCell ref="AB2:AB3"/>
    <mergeCell ref="AC2:AC3"/>
    <mergeCell ref="AD2:AD3"/>
    <mergeCell ref="AE2:AE3"/>
    <mergeCell ref="AF2:AF3"/>
    <mergeCell ref="AG2:A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A3:B3"/>
    <mergeCell ref="A4:B4"/>
    <mergeCell ref="A5:B5"/>
    <mergeCell ref="A6:A12"/>
    <mergeCell ref="A13:A21"/>
    <mergeCell ref="A22:A26"/>
    <mergeCell ref="A1:T1"/>
    <mergeCell ref="A2:B2"/>
    <mergeCell ref="C2:C3"/>
    <mergeCell ref="D2:D3"/>
    <mergeCell ref="E2:E3"/>
    <mergeCell ref="F2:F3"/>
    <mergeCell ref="G2:G3"/>
  </mergeCells>
  <printOptions/>
  <pageMargins bottom="0.7480314960629921" footer="0.0" header="0.0" left="0.2362204724409449" right="0.2362204724409449" top="0.7480314960629921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28.57"/>
    <col customWidth="1" min="3" max="36" width="6.14"/>
    <col customWidth="1" min="37" max="38" width="9.14"/>
    <col customWidth="1" min="39" max="39" width="77.0"/>
  </cols>
  <sheetData>
    <row r="1" ht="30.0" customHeight="1">
      <c r="A1" s="1" t="str">
        <f>'Assessment 1'!A1</f>
        <v>End of Unit Assessment | Computing | Year 4 | Word Processing</v>
      </c>
      <c r="AK1" s="3"/>
      <c r="AL1" s="3"/>
      <c r="AM1" s="4"/>
    </row>
    <row r="2" ht="21.0" customHeight="1">
      <c r="A2" s="7"/>
      <c r="B2" s="12" t="s">
        <v>3</v>
      </c>
      <c r="C2" s="15" t="s">
        <v>7</v>
      </c>
      <c r="D2" s="17"/>
      <c r="E2" s="17"/>
      <c r="F2" s="17"/>
      <c r="G2" s="19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13" t="s">
        <v>6</v>
      </c>
      <c r="AK2" s="3"/>
      <c r="AL2" s="3"/>
      <c r="AM2" s="27"/>
    </row>
    <row r="3" ht="114.0" customHeight="1">
      <c r="A3" s="28"/>
      <c r="B3" s="29"/>
      <c r="C3" s="21" t="s">
        <v>10</v>
      </c>
      <c r="D3" s="23" t="s">
        <v>10</v>
      </c>
      <c r="E3" s="23" t="s">
        <v>10</v>
      </c>
      <c r="F3" s="23" t="s">
        <v>10</v>
      </c>
      <c r="G3" s="23" t="s">
        <v>10</v>
      </c>
      <c r="H3" s="23" t="s">
        <v>10</v>
      </c>
      <c r="I3" s="23" t="s">
        <v>10</v>
      </c>
      <c r="J3" s="23" t="s">
        <v>10</v>
      </c>
      <c r="K3" s="23" t="s">
        <v>10</v>
      </c>
      <c r="L3" s="23" t="s">
        <v>10</v>
      </c>
      <c r="M3" s="23" t="s">
        <v>10</v>
      </c>
      <c r="N3" s="23" t="s">
        <v>10</v>
      </c>
      <c r="O3" s="23" t="s">
        <v>10</v>
      </c>
      <c r="P3" s="23" t="s">
        <v>10</v>
      </c>
      <c r="Q3" s="23" t="s">
        <v>10</v>
      </c>
      <c r="R3" s="23" t="s">
        <v>10</v>
      </c>
      <c r="S3" s="23" t="s">
        <v>10</v>
      </c>
      <c r="T3" s="23" t="s">
        <v>10</v>
      </c>
      <c r="U3" s="23" t="s">
        <v>10</v>
      </c>
      <c r="V3" s="23" t="s">
        <v>10</v>
      </c>
      <c r="W3" s="23" t="s">
        <v>10</v>
      </c>
      <c r="X3" s="23" t="s">
        <v>10</v>
      </c>
      <c r="Y3" s="23" t="s">
        <v>10</v>
      </c>
      <c r="Z3" s="23" t="s">
        <v>10</v>
      </c>
      <c r="AA3" s="23" t="s">
        <v>10</v>
      </c>
      <c r="AB3" s="23" t="s">
        <v>10</v>
      </c>
      <c r="AC3" s="23" t="s">
        <v>10</v>
      </c>
      <c r="AD3" s="23" t="s">
        <v>10</v>
      </c>
      <c r="AE3" s="23" t="s">
        <v>10</v>
      </c>
      <c r="AF3" s="23" t="s">
        <v>10</v>
      </c>
      <c r="AG3" s="23" t="s">
        <v>10</v>
      </c>
      <c r="AH3" s="23" t="s">
        <v>10</v>
      </c>
      <c r="AI3" s="23" t="s">
        <v>10</v>
      </c>
      <c r="AJ3" s="31" t="s">
        <v>10</v>
      </c>
      <c r="AK3" s="3"/>
      <c r="AL3" s="3"/>
      <c r="AM3" s="34"/>
    </row>
    <row r="4" ht="56.25" customHeight="1">
      <c r="A4" s="16"/>
      <c r="B4" s="42"/>
      <c r="C4" s="37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36"/>
      <c r="AK4" s="3"/>
      <c r="AL4" s="48"/>
      <c r="AM4" s="11"/>
    </row>
    <row r="5" ht="21.0" customHeight="1">
      <c r="A5" s="16"/>
      <c r="B5" s="50" t="s">
        <v>18</v>
      </c>
      <c r="C5" s="51">
        <f t="shared" ref="C5:AJ5" si="1">COUNTIF(C6:C30,"*")/COUNTIF($B$6:$B$30,"*")</f>
        <v>0</v>
      </c>
      <c r="D5" s="51">
        <f t="shared" si="1"/>
        <v>0</v>
      </c>
      <c r="E5" s="51">
        <f t="shared" si="1"/>
        <v>0</v>
      </c>
      <c r="F5" s="51">
        <f t="shared" si="1"/>
        <v>0</v>
      </c>
      <c r="G5" s="51">
        <f t="shared" si="1"/>
        <v>0</v>
      </c>
      <c r="H5" s="51">
        <f t="shared" si="1"/>
        <v>0</v>
      </c>
      <c r="I5" s="51">
        <f t="shared" si="1"/>
        <v>0</v>
      </c>
      <c r="J5" s="51">
        <f t="shared" si="1"/>
        <v>0</v>
      </c>
      <c r="K5" s="51">
        <f t="shared" si="1"/>
        <v>0</v>
      </c>
      <c r="L5" s="51">
        <f t="shared" si="1"/>
        <v>0</v>
      </c>
      <c r="M5" s="51">
        <f t="shared" si="1"/>
        <v>0</v>
      </c>
      <c r="N5" s="51">
        <f t="shared" si="1"/>
        <v>0</v>
      </c>
      <c r="O5" s="51">
        <f t="shared" si="1"/>
        <v>0</v>
      </c>
      <c r="P5" s="51">
        <f t="shared" si="1"/>
        <v>0</v>
      </c>
      <c r="Q5" s="51">
        <f t="shared" si="1"/>
        <v>0</v>
      </c>
      <c r="R5" s="51">
        <f t="shared" si="1"/>
        <v>0</v>
      </c>
      <c r="S5" s="51">
        <f t="shared" si="1"/>
        <v>0</v>
      </c>
      <c r="T5" s="51">
        <f t="shared" si="1"/>
        <v>0</v>
      </c>
      <c r="U5" s="51">
        <f t="shared" si="1"/>
        <v>0</v>
      </c>
      <c r="V5" s="51">
        <f t="shared" si="1"/>
        <v>0</v>
      </c>
      <c r="W5" s="51">
        <f t="shared" si="1"/>
        <v>0</v>
      </c>
      <c r="X5" s="51">
        <f t="shared" si="1"/>
        <v>0</v>
      </c>
      <c r="Y5" s="51">
        <f t="shared" si="1"/>
        <v>0</v>
      </c>
      <c r="Z5" s="51">
        <f t="shared" si="1"/>
        <v>0</v>
      </c>
      <c r="AA5" s="51">
        <f t="shared" si="1"/>
        <v>0</v>
      </c>
      <c r="AB5" s="51">
        <f t="shared" si="1"/>
        <v>0</v>
      </c>
      <c r="AC5" s="51">
        <f t="shared" si="1"/>
        <v>0</v>
      </c>
      <c r="AD5" s="51">
        <f t="shared" si="1"/>
        <v>0</v>
      </c>
      <c r="AE5" s="51">
        <f t="shared" si="1"/>
        <v>0</v>
      </c>
      <c r="AF5" s="51">
        <f t="shared" si="1"/>
        <v>0</v>
      </c>
      <c r="AG5" s="51">
        <f t="shared" si="1"/>
        <v>0</v>
      </c>
      <c r="AH5" s="51">
        <f t="shared" si="1"/>
        <v>0</v>
      </c>
      <c r="AI5" s="51">
        <f t="shared" si="1"/>
        <v>0</v>
      </c>
      <c r="AJ5" s="60">
        <f t="shared" si="1"/>
        <v>0</v>
      </c>
      <c r="AK5" s="3"/>
      <c r="AL5" s="62"/>
    </row>
    <row r="6" ht="66.0" customHeight="1">
      <c r="A6" s="65">
        <v>1.0</v>
      </c>
      <c r="B6" s="66" t="s">
        <v>23</v>
      </c>
      <c r="C6" s="6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  <c r="AC6" s="57"/>
      <c r="AD6" s="57"/>
      <c r="AE6" s="57"/>
      <c r="AF6" s="57"/>
      <c r="AG6" s="57"/>
      <c r="AH6" s="57"/>
      <c r="AI6" s="57"/>
      <c r="AJ6" s="58"/>
      <c r="AK6" s="59">
        <f t="shared" ref="AK6:AK7" si="2">COUNTIF(C6:AJ6,"*")/COUNTIF($C$3:$AJ$4,"*")</f>
        <v>0</v>
      </c>
      <c r="AL6" s="3"/>
    </row>
    <row r="7" ht="45.0" customHeight="1">
      <c r="A7" s="71"/>
      <c r="B7" s="72" t="s">
        <v>27</v>
      </c>
      <c r="C7" s="73"/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  <c r="AA7" s="64"/>
      <c r="AB7" s="64"/>
      <c r="AC7" s="64"/>
      <c r="AD7" s="64"/>
      <c r="AE7" s="64"/>
      <c r="AF7" s="64"/>
      <c r="AG7" s="64"/>
      <c r="AH7" s="64"/>
      <c r="AI7" s="76"/>
      <c r="AJ7" s="77"/>
      <c r="AK7" s="78">
        <f t="shared" si="2"/>
        <v>0</v>
      </c>
      <c r="AL7" s="3"/>
      <c r="AM7" s="79"/>
    </row>
    <row r="8" ht="45.0" customHeight="1">
      <c r="A8" s="71"/>
      <c r="B8" s="72" t="s">
        <v>29</v>
      </c>
      <c r="C8" s="73"/>
      <c r="D8" s="64"/>
      <c r="E8" s="64"/>
      <c r="F8" s="64"/>
      <c r="G8" s="64"/>
      <c r="H8" s="64"/>
      <c r="I8" s="64"/>
      <c r="J8" s="64"/>
      <c r="K8" s="64"/>
      <c r="L8" s="64"/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  <c r="AA8" s="64"/>
      <c r="AB8" s="64"/>
      <c r="AC8" s="64"/>
      <c r="AD8" s="64"/>
      <c r="AE8" s="64"/>
      <c r="AF8" s="64"/>
      <c r="AG8" s="64"/>
      <c r="AH8" s="64"/>
      <c r="AI8" s="76"/>
      <c r="AJ8" s="77"/>
      <c r="AK8" s="78"/>
      <c r="AL8" s="3"/>
      <c r="AM8" s="79"/>
    </row>
    <row r="9" ht="45.0" customHeight="1">
      <c r="A9" s="71"/>
      <c r="B9" s="72" t="s">
        <v>32</v>
      </c>
      <c r="C9" s="73"/>
      <c r="D9" s="64"/>
      <c r="E9" s="64"/>
      <c r="F9" s="64"/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  <c r="AA9" s="64"/>
      <c r="AB9" s="64"/>
      <c r="AC9" s="64"/>
      <c r="AD9" s="64"/>
      <c r="AE9" s="64"/>
      <c r="AF9" s="64"/>
      <c r="AG9" s="64"/>
      <c r="AH9" s="64"/>
      <c r="AI9" s="76"/>
      <c r="AJ9" s="77"/>
      <c r="AK9" s="78">
        <f t="shared" ref="AK9:AK14" si="3">COUNTIF(C9:AJ9,"*")/COUNTIF($C$3:$AJ$4,"*")</f>
        <v>0</v>
      </c>
      <c r="AL9" s="3"/>
      <c r="AM9" s="22"/>
    </row>
    <row r="10" ht="66.0" customHeight="1">
      <c r="A10" s="65">
        <v>2.0</v>
      </c>
      <c r="B10" s="66" t="s">
        <v>36</v>
      </c>
      <c r="C10" s="67"/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7"/>
      <c r="AJ10" s="58"/>
      <c r="AK10" s="59">
        <f t="shared" si="3"/>
        <v>0</v>
      </c>
      <c r="AL10" s="25"/>
      <c r="AM10" s="3"/>
    </row>
    <row r="11" ht="45.0" customHeight="1">
      <c r="A11" s="71"/>
      <c r="B11" s="72" t="s">
        <v>39</v>
      </c>
      <c r="C11" s="73"/>
      <c r="D11" s="64"/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4"/>
      <c r="AB11" s="64"/>
      <c r="AC11" s="64"/>
      <c r="AD11" s="64"/>
      <c r="AE11" s="64"/>
      <c r="AF11" s="64"/>
      <c r="AG11" s="64"/>
      <c r="AH11" s="64"/>
      <c r="AI11" s="76"/>
      <c r="AJ11" s="77"/>
      <c r="AK11" s="78">
        <f t="shared" si="3"/>
        <v>0</v>
      </c>
      <c r="AL11" s="25"/>
      <c r="AM11" s="3"/>
    </row>
    <row r="12" ht="45.0" customHeight="1">
      <c r="A12" s="71"/>
      <c r="B12" s="72" t="s">
        <v>41</v>
      </c>
      <c r="C12" s="73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  <c r="AF12" s="64"/>
      <c r="AG12" s="64"/>
      <c r="AH12" s="64"/>
      <c r="AI12" s="76"/>
      <c r="AJ12" s="77"/>
      <c r="AK12" s="78">
        <f t="shared" si="3"/>
        <v>0</v>
      </c>
      <c r="AL12" s="25"/>
      <c r="AM12" s="3"/>
    </row>
    <row r="13" ht="66.0" customHeight="1">
      <c r="A13" s="65">
        <v>3.0</v>
      </c>
      <c r="B13" s="66" t="s">
        <v>44</v>
      </c>
      <c r="C13" s="6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8"/>
      <c r="AK13" s="59">
        <f t="shared" si="3"/>
        <v>0</v>
      </c>
      <c r="AL13" s="3"/>
      <c r="AM13" s="3"/>
    </row>
    <row r="14" ht="45.0" customHeight="1">
      <c r="A14" s="71"/>
      <c r="B14" s="72" t="s">
        <v>39</v>
      </c>
      <c r="C14" s="73"/>
      <c r="D14" s="64"/>
      <c r="E14" s="64"/>
      <c r="F14" s="64"/>
      <c r="G14" s="64"/>
      <c r="H14" s="64"/>
      <c r="I14" s="64"/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4"/>
      <c r="AB14" s="64"/>
      <c r="AC14" s="64"/>
      <c r="AD14" s="64"/>
      <c r="AE14" s="64"/>
      <c r="AF14" s="64"/>
      <c r="AG14" s="64"/>
      <c r="AH14" s="64"/>
      <c r="AI14" s="76"/>
      <c r="AJ14" s="77"/>
      <c r="AK14" s="78">
        <f t="shared" si="3"/>
        <v>0</v>
      </c>
      <c r="AL14" s="3"/>
      <c r="AM14" s="3"/>
    </row>
    <row r="15" ht="45.0" customHeight="1">
      <c r="A15" s="71"/>
      <c r="B15" s="72" t="s">
        <v>48</v>
      </c>
      <c r="C15" s="73"/>
      <c r="D15" s="64"/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64"/>
      <c r="AI15" s="76"/>
      <c r="AJ15" s="77"/>
      <c r="AK15" s="78"/>
      <c r="AL15" s="3"/>
      <c r="AM15" s="3"/>
    </row>
    <row r="16" ht="45.0" customHeight="1">
      <c r="A16" s="71"/>
      <c r="B16" s="72" t="s">
        <v>51</v>
      </c>
      <c r="C16" s="73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76"/>
      <c r="AJ16" s="77"/>
      <c r="AK16" s="78">
        <f t="shared" ref="AK16:AK29" si="4">COUNTIF(C16:AJ16,"*")/COUNTIF($C$3:$AJ$4,"*")</f>
        <v>0</v>
      </c>
      <c r="AL16" s="3"/>
      <c r="AM16" s="3"/>
    </row>
    <row r="17" ht="66.0" customHeight="1">
      <c r="A17" s="65">
        <v>4.0</v>
      </c>
      <c r="B17" s="66" t="s">
        <v>53</v>
      </c>
      <c r="C17" s="67"/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7"/>
      <c r="AJ17" s="58"/>
      <c r="AK17" s="59">
        <f t="shared" si="4"/>
        <v>0</v>
      </c>
      <c r="AL17" s="3"/>
      <c r="AM17" s="3"/>
    </row>
    <row r="18" ht="45.0" customHeight="1">
      <c r="A18" s="71"/>
      <c r="B18" s="72" t="s">
        <v>55</v>
      </c>
      <c r="C18" s="92"/>
      <c r="D18" s="76"/>
      <c r="E18" s="76"/>
      <c r="F18" s="76"/>
      <c r="G18" s="76"/>
      <c r="H18" s="76"/>
      <c r="I18" s="76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  <c r="AA18" s="76"/>
      <c r="AB18" s="76"/>
      <c r="AC18" s="76"/>
      <c r="AD18" s="76"/>
      <c r="AE18" s="76"/>
      <c r="AF18" s="76"/>
      <c r="AG18" s="76"/>
      <c r="AH18" s="76"/>
      <c r="AI18" s="76"/>
      <c r="AJ18" s="77"/>
      <c r="AK18" s="78">
        <f t="shared" si="4"/>
        <v>0</v>
      </c>
      <c r="AL18" s="3"/>
      <c r="AM18" s="3"/>
    </row>
    <row r="19" ht="45.0" customHeight="1">
      <c r="A19" s="71"/>
      <c r="B19" s="96" t="s">
        <v>56</v>
      </c>
      <c r="C19" s="97"/>
      <c r="D19" s="98"/>
      <c r="E19" s="98"/>
      <c r="F19" s="98"/>
      <c r="G19" s="98"/>
      <c r="H19" s="98"/>
      <c r="I19" s="98"/>
      <c r="J19" s="98"/>
      <c r="K19" s="98"/>
      <c r="L19" s="98"/>
      <c r="M19" s="98"/>
      <c r="N19" s="98"/>
      <c r="O19" s="98"/>
      <c r="P19" s="98"/>
      <c r="Q19" s="98"/>
      <c r="R19" s="98"/>
      <c r="S19" s="98"/>
      <c r="T19" s="98"/>
      <c r="U19" s="98"/>
      <c r="V19" s="98"/>
      <c r="W19" s="98"/>
      <c r="X19" s="98"/>
      <c r="Y19" s="98"/>
      <c r="Z19" s="98"/>
      <c r="AA19" s="98"/>
      <c r="AB19" s="98"/>
      <c r="AC19" s="98"/>
      <c r="AD19" s="98"/>
      <c r="AE19" s="98"/>
      <c r="AF19" s="98"/>
      <c r="AG19" s="98"/>
      <c r="AH19" s="98"/>
      <c r="AI19" s="76"/>
      <c r="AJ19" s="77"/>
      <c r="AK19" s="78">
        <f t="shared" si="4"/>
        <v>0</v>
      </c>
      <c r="AL19" s="3"/>
      <c r="AM19" s="3"/>
    </row>
    <row r="20" ht="45.0" customHeight="1">
      <c r="A20" s="71"/>
      <c r="B20" s="96" t="s">
        <v>57</v>
      </c>
      <c r="C20" s="97"/>
      <c r="D20" s="98"/>
      <c r="E20" s="98"/>
      <c r="F20" s="98"/>
      <c r="G20" s="98"/>
      <c r="H20" s="98"/>
      <c r="I20" s="98"/>
      <c r="J20" s="98"/>
      <c r="K20" s="98"/>
      <c r="L20" s="98"/>
      <c r="M20" s="98"/>
      <c r="N20" s="98"/>
      <c r="O20" s="98"/>
      <c r="P20" s="98"/>
      <c r="Q20" s="98"/>
      <c r="R20" s="98"/>
      <c r="S20" s="98"/>
      <c r="T20" s="98"/>
      <c r="U20" s="98"/>
      <c r="V20" s="98"/>
      <c r="W20" s="98"/>
      <c r="X20" s="98"/>
      <c r="Y20" s="98"/>
      <c r="Z20" s="98"/>
      <c r="AA20" s="98"/>
      <c r="AB20" s="98"/>
      <c r="AC20" s="98"/>
      <c r="AD20" s="98"/>
      <c r="AE20" s="98"/>
      <c r="AF20" s="98"/>
      <c r="AG20" s="98"/>
      <c r="AH20" s="98"/>
      <c r="AI20" s="76"/>
      <c r="AJ20" s="77"/>
      <c r="AK20" s="78">
        <f t="shared" si="4"/>
        <v>0</v>
      </c>
      <c r="AL20" s="3"/>
      <c r="AM20" s="3"/>
    </row>
    <row r="21" ht="45.0" customHeight="1">
      <c r="A21" s="99"/>
      <c r="B21" s="100" t="s">
        <v>58</v>
      </c>
      <c r="C21" s="95"/>
      <c r="D21" s="83"/>
      <c r="E21" s="83"/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  <c r="AA21" s="83"/>
      <c r="AB21" s="83"/>
      <c r="AC21" s="83"/>
      <c r="AD21" s="83"/>
      <c r="AE21" s="83"/>
      <c r="AF21" s="83"/>
      <c r="AG21" s="83"/>
      <c r="AH21" s="83"/>
      <c r="AI21" s="83"/>
      <c r="AJ21" s="84"/>
      <c r="AK21" s="85">
        <f t="shared" si="4"/>
        <v>0</v>
      </c>
      <c r="AL21" s="3"/>
      <c r="AM21" s="3"/>
    </row>
    <row r="22" ht="66.0" customHeight="1">
      <c r="A22" s="65">
        <v>5.0</v>
      </c>
      <c r="B22" s="66" t="s">
        <v>59</v>
      </c>
      <c r="C22" s="67"/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7"/>
      <c r="AH22" s="57"/>
      <c r="AI22" s="57"/>
      <c r="AJ22" s="58"/>
      <c r="AK22" s="59">
        <f t="shared" si="4"/>
        <v>0</v>
      </c>
      <c r="AL22" s="3"/>
      <c r="AM22" s="3"/>
    </row>
    <row r="23" ht="45.0" customHeight="1">
      <c r="A23" s="71"/>
      <c r="B23" s="72" t="s">
        <v>60</v>
      </c>
      <c r="C23" s="73"/>
      <c r="D23" s="64"/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64"/>
      <c r="AC23" s="64"/>
      <c r="AD23" s="64"/>
      <c r="AE23" s="64"/>
      <c r="AF23" s="64"/>
      <c r="AG23" s="64"/>
      <c r="AH23" s="64"/>
      <c r="AI23" s="76"/>
      <c r="AJ23" s="77"/>
      <c r="AK23" s="78">
        <f t="shared" si="4"/>
        <v>0</v>
      </c>
      <c r="AL23" s="3"/>
      <c r="AM23" s="3"/>
    </row>
    <row r="24" ht="45.0" customHeight="1">
      <c r="A24" s="71"/>
      <c r="B24" s="72" t="s">
        <v>61</v>
      </c>
      <c r="C24" s="73"/>
      <c r="D24" s="64"/>
      <c r="E24" s="64"/>
      <c r="F24" s="64"/>
      <c r="G24" s="64"/>
      <c r="H24" s="64"/>
      <c r="I24" s="64"/>
      <c r="J24" s="64"/>
      <c r="K24" s="64"/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4"/>
      <c r="AB24" s="64"/>
      <c r="AC24" s="64"/>
      <c r="AD24" s="64"/>
      <c r="AE24" s="64"/>
      <c r="AF24" s="64"/>
      <c r="AG24" s="64"/>
      <c r="AH24" s="64"/>
      <c r="AI24" s="76"/>
      <c r="AJ24" s="77"/>
      <c r="AK24" s="78">
        <f t="shared" si="4"/>
        <v>0</v>
      </c>
      <c r="AL24" s="3"/>
      <c r="AM24" s="3"/>
    </row>
    <row r="25" ht="45.0" customHeight="1">
      <c r="A25" s="71"/>
      <c r="B25" s="72" t="s">
        <v>62</v>
      </c>
      <c r="C25" s="92"/>
      <c r="D25" s="76"/>
      <c r="E25" s="76"/>
      <c r="F25" s="76"/>
      <c r="G25" s="76"/>
      <c r="H25" s="76"/>
      <c r="I25" s="76"/>
      <c r="J25" s="76"/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  <c r="W25" s="76"/>
      <c r="X25" s="76"/>
      <c r="Y25" s="76"/>
      <c r="Z25" s="76"/>
      <c r="AA25" s="76"/>
      <c r="AB25" s="76"/>
      <c r="AC25" s="76"/>
      <c r="AD25" s="76"/>
      <c r="AE25" s="76"/>
      <c r="AF25" s="76"/>
      <c r="AG25" s="76"/>
      <c r="AH25" s="76"/>
      <c r="AI25" s="76"/>
      <c r="AJ25" s="77"/>
      <c r="AK25" s="78">
        <f t="shared" si="4"/>
        <v>0</v>
      </c>
      <c r="AL25" s="3"/>
      <c r="AM25" s="3"/>
    </row>
    <row r="26" ht="66.0" customHeight="1">
      <c r="A26" s="65">
        <v>6.0</v>
      </c>
      <c r="B26" s="66" t="s">
        <v>63</v>
      </c>
      <c r="C26" s="6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7"/>
      <c r="AG26" s="57"/>
      <c r="AH26" s="57"/>
      <c r="AI26" s="57"/>
      <c r="AJ26" s="58"/>
      <c r="AK26" s="59">
        <f t="shared" si="4"/>
        <v>0</v>
      </c>
      <c r="AL26" s="3"/>
      <c r="AM26" s="3"/>
    </row>
    <row r="27" ht="45.0" customHeight="1">
      <c r="A27" s="71"/>
      <c r="B27" s="72" t="s">
        <v>64</v>
      </c>
      <c r="C27" s="73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  <c r="AA27" s="64"/>
      <c r="AB27" s="64"/>
      <c r="AC27" s="64"/>
      <c r="AD27" s="64"/>
      <c r="AE27" s="64"/>
      <c r="AF27" s="64"/>
      <c r="AG27" s="64"/>
      <c r="AH27" s="64"/>
      <c r="AI27" s="76"/>
      <c r="AJ27" s="77"/>
      <c r="AK27" s="78">
        <f t="shared" si="4"/>
        <v>0</v>
      </c>
      <c r="AL27" s="3"/>
      <c r="AM27" s="3"/>
    </row>
    <row r="28" ht="45.0" customHeight="1">
      <c r="A28" s="71"/>
      <c r="B28" s="72" t="s">
        <v>65</v>
      </c>
      <c r="C28" s="73"/>
      <c r="D28" s="64"/>
      <c r="E28" s="64"/>
      <c r="F28" s="64"/>
      <c r="G28" s="64"/>
      <c r="H28" s="64"/>
      <c r="I28" s="64"/>
      <c r="J28" s="64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4"/>
      <c r="AB28" s="64"/>
      <c r="AC28" s="64"/>
      <c r="AD28" s="64"/>
      <c r="AE28" s="64"/>
      <c r="AF28" s="64"/>
      <c r="AG28" s="64"/>
      <c r="AH28" s="64"/>
      <c r="AI28" s="76"/>
      <c r="AJ28" s="77"/>
      <c r="AK28" s="78">
        <f t="shared" si="4"/>
        <v>0</v>
      </c>
      <c r="AL28" s="3"/>
      <c r="AM28" s="3"/>
    </row>
    <row r="29" ht="45.0" customHeight="1">
      <c r="A29" s="101"/>
      <c r="B29" s="72" t="s">
        <v>66</v>
      </c>
      <c r="C29" s="102"/>
      <c r="D29" s="103"/>
      <c r="E29" s="103"/>
      <c r="F29" s="103"/>
      <c r="G29" s="103"/>
      <c r="H29" s="103"/>
      <c r="I29" s="103"/>
      <c r="J29" s="103"/>
      <c r="K29" s="103"/>
      <c r="L29" s="103"/>
      <c r="M29" s="103"/>
      <c r="N29" s="103"/>
      <c r="O29" s="103"/>
      <c r="P29" s="103"/>
      <c r="Q29" s="103"/>
      <c r="R29" s="103"/>
      <c r="S29" s="103"/>
      <c r="T29" s="103"/>
      <c r="U29" s="103"/>
      <c r="V29" s="103"/>
      <c r="W29" s="103"/>
      <c r="X29" s="103"/>
      <c r="Y29" s="103"/>
      <c r="Z29" s="103"/>
      <c r="AA29" s="103"/>
      <c r="AB29" s="103"/>
      <c r="AC29" s="103"/>
      <c r="AD29" s="103"/>
      <c r="AE29" s="103"/>
      <c r="AF29" s="103"/>
      <c r="AG29" s="103"/>
      <c r="AH29" s="103"/>
      <c r="AI29" s="103"/>
      <c r="AJ29" s="104"/>
      <c r="AK29" s="78">
        <f t="shared" si="4"/>
        <v>0</v>
      </c>
      <c r="AL29" s="3"/>
      <c r="AM29" s="3"/>
    </row>
    <row r="30" ht="14.2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</row>
    <row r="31" ht="14.2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</row>
    <row r="32" ht="14.2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</row>
    <row r="33" ht="14.2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</row>
    <row r="34" ht="14.2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</row>
    <row r="35" ht="14.2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</row>
    <row r="36" ht="14.2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</row>
    <row r="37" ht="14.2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</row>
    <row r="38" ht="14.2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</row>
    <row r="39" ht="14.2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</row>
    <row r="40" ht="14.2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</row>
    <row r="41" ht="14.2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</row>
    <row r="42" ht="14.2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</row>
    <row r="43" ht="14.2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</row>
    <row r="44" ht="14.2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</row>
    <row r="45" ht="14.2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</row>
    <row r="46" ht="14.2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</row>
    <row r="47" ht="14.2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</row>
    <row r="48" ht="14.2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</row>
    <row r="49" ht="14.2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</row>
    <row r="50" ht="14.2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</row>
    <row r="51" ht="14.2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</row>
    <row r="52" ht="14.2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</row>
    <row r="53" ht="14.2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</row>
    <row r="54" ht="14.2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</row>
    <row r="55" ht="14.2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</row>
    <row r="56" ht="14.2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</row>
    <row r="57" ht="14.2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</row>
    <row r="58" ht="14.2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</row>
    <row r="59" ht="14.2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</row>
    <row r="60" ht="14.2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</row>
    <row r="61" ht="14.2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</row>
    <row r="62" ht="14.2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</row>
    <row r="63" ht="14.2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</row>
    <row r="64" ht="14.2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</row>
    <row r="65" ht="14.2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</row>
    <row r="66" ht="14.2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</row>
    <row r="67" ht="14.2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</row>
    <row r="68" ht="14.2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</row>
    <row r="69" ht="14.2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</row>
    <row r="70" ht="14.2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</row>
    <row r="71" ht="14.2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</row>
    <row r="72" ht="14.2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</row>
    <row r="73" ht="14.2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</row>
    <row r="74" ht="14.2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</row>
    <row r="75" ht="14.2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</row>
    <row r="76" ht="14.2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</row>
    <row r="77" ht="14.2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</row>
    <row r="78" ht="14.2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</row>
    <row r="79" ht="14.2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</row>
    <row r="80" ht="14.2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</row>
    <row r="81" ht="14.2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</row>
    <row r="82" ht="14.2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</row>
    <row r="83" ht="14.2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</row>
    <row r="84" ht="14.2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</row>
    <row r="85" ht="14.2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</row>
    <row r="86" ht="14.2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</row>
    <row r="87" ht="14.2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</row>
    <row r="88" ht="14.2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</row>
    <row r="89" ht="14.2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</row>
    <row r="90" ht="14.2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</row>
    <row r="91" ht="14.2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</row>
    <row r="92" ht="14.2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</row>
    <row r="93" ht="14.2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</row>
    <row r="94" ht="14.2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</row>
    <row r="95" ht="14.2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</row>
    <row r="96" ht="14.2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</row>
    <row r="97" ht="14.2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</row>
    <row r="98" ht="14.2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</row>
    <row r="99" ht="14.2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</row>
    <row r="100" ht="14.2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</row>
    <row r="101" ht="14.2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</row>
    <row r="102" ht="14.2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</row>
    <row r="103" ht="14.2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</row>
    <row r="104" ht="14.2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</row>
    <row r="105" ht="14.2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</row>
    <row r="106" ht="14.2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</row>
    <row r="107" ht="14.2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</row>
    <row r="108" ht="14.2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</row>
    <row r="109" ht="14.2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</row>
    <row r="110" ht="14.2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</row>
    <row r="111" ht="14.2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</row>
    <row r="112" ht="14.2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</row>
    <row r="113" ht="14.2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</row>
    <row r="114" ht="14.2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</row>
    <row r="115" ht="14.2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</row>
    <row r="116" ht="14.2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</row>
    <row r="117" ht="14.2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</row>
    <row r="118" ht="14.2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</row>
    <row r="119" ht="14.2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</row>
    <row r="120" ht="14.2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</row>
    <row r="121" ht="14.2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</row>
    <row r="122" ht="14.2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</row>
    <row r="123" ht="14.2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</row>
    <row r="124" ht="14.2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</row>
    <row r="125" ht="14.2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</row>
    <row r="126" ht="14.2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</row>
    <row r="127" ht="14.2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</row>
    <row r="128" ht="14.2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</row>
    <row r="129" ht="14.2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</row>
    <row r="130" ht="14.2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</row>
    <row r="131" ht="14.2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</row>
    <row r="132" ht="14.2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</row>
    <row r="133" ht="14.2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</row>
    <row r="134" ht="14.2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</row>
    <row r="135" ht="14.2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</row>
    <row r="136" ht="14.2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</row>
    <row r="137" ht="14.2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</row>
    <row r="138" ht="14.2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</row>
    <row r="139" ht="14.2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</row>
    <row r="140" ht="14.2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</row>
    <row r="141" ht="14.2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</row>
    <row r="142" ht="14.2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</row>
    <row r="143" ht="14.2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</row>
    <row r="144" ht="14.2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</row>
    <row r="145" ht="14.2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</row>
    <row r="146" ht="14.2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</row>
    <row r="147" ht="14.2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</row>
    <row r="148" ht="14.2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</row>
    <row r="149" ht="14.2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</row>
    <row r="150" ht="14.2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</row>
    <row r="151" ht="14.2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</row>
    <row r="152" ht="14.2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</row>
    <row r="153" ht="14.2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</row>
    <row r="154" ht="14.2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</row>
    <row r="155" ht="14.2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</row>
    <row r="156" ht="14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</row>
    <row r="157" ht="14.2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</row>
    <row r="158" ht="14.2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</row>
    <row r="159" ht="14.2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</row>
    <row r="160" ht="14.2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</row>
    <row r="161" ht="14.2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</row>
    <row r="162" ht="14.2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</row>
    <row r="163" ht="14.2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</row>
    <row r="164" ht="14.2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</row>
    <row r="165" ht="14.2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</row>
    <row r="166" ht="14.2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</row>
    <row r="167" ht="14.2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</row>
    <row r="168" ht="14.2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</row>
    <row r="169" ht="14.2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</row>
    <row r="170" ht="14.2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</row>
    <row r="171" ht="14.2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</row>
    <row r="172" ht="14.2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</row>
    <row r="173" ht="14.2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</row>
    <row r="174" ht="14.2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</row>
    <row r="175" ht="14.2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</row>
    <row r="176" ht="14.2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</row>
    <row r="177" ht="14.2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</row>
    <row r="178" ht="14.2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</row>
    <row r="179" ht="14.2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</row>
    <row r="180" ht="14.2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</row>
    <row r="181" ht="14.2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</row>
    <row r="182" ht="14.2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</row>
    <row r="183" ht="14.2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</row>
    <row r="184" ht="14.2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</row>
    <row r="185" ht="14.2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</row>
    <row r="186" ht="14.2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</row>
    <row r="187" ht="14.2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</row>
    <row r="188" ht="14.2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</row>
    <row r="189" ht="14.2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</row>
    <row r="190" ht="14.2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</row>
    <row r="191" ht="14.2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</row>
    <row r="192" ht="14.2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</row>
    <row r="193" ht="14.2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</row>
    <row r="194" ht="14.2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</row>
    <row r="195" ht="14.2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</row>
    <row r="196" ht="14.2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</row>
    <row r="197" ht="14.2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</row>
    <row r="198" ht="14.2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</row>
    <row r="199" ht="14.2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</row>
    <row r="200" ht="14.2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</row>
    <row r="201" ht="14.2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</row>
    <row r="202" ht="14.2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</row>
    <row r="203" ht="14.2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</row>
    <row r="204" ht="14.2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</row>
    <row r="205" ht="14.2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</row>
    <row r="206" ht="14.2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</row>
    <row r="207" ht="14.2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</row>
    <row r="208" ht="14.2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</row>
    <row r="209" ht="14.2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</row>
    <row r="210" ht="14.2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</row>
    <row r="211" ht="14.2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</row>
    <row r="212" ht="14.2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</row>
    <row r="213" ht="14.2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</row>
    <row r="214" ht="14.2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</row>
    <row r="215" ht="14.2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</row>
    <row r="216" ht="14.2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</row>
    <row r="217" ht="14.2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</row>
    <row r="218" ht="14.2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</row>
    <row r="219" ht="14.2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</row>
    <row r="220" ht="14.2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</row>
    <row r="221" ht="14.2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</row>
    <row r="222" ht="14.2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</row>
    <row r="223" ht="14.2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</row>
    <row r="224" ht="14.2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</row>
    <row r="225" ht="14.2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</row>
    <row r="226" ht="14.2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</row>
    <row r="227" ht="14.2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</row>
    <row r="228" ht="14.2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</row>
    <row r="229" ht="14.2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</row>
    <row r="230" ht="14.2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</row>
    <row r="231" ht="14.2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</row>
    <row r="232" ht="14.2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</row>
    <row r="233" ht="14.2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</row>
    <row r="234" ht="14.2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</row>
    <row r="235" ht="14.2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</row>
    <row r="236" ht="14.2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</row>
    <row r="237" ht="14.2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</row>
    <row r="238" ht="14.2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</row>
    <row r="239" ht="14.2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</row>
    <row r="240" ht="14.2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</row>
    <row r="241" ht="14.2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</row>
    <row r="242" ht="14.2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</row>
    <row r="243" ht="14.2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</row>
    <row r="244" ht="14.2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</row>
    <row r="245" ht="14.2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</row>
    <row r="246" ht="14.2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</row>
    <row r="247" ht="14.2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</row>
    <row r="248" ht="14.2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</row>
    <row r="249" ht="14.2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</row>
    <row r="250" ht="14.2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</row>
    <row r="251" ht="14.2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</row>
    <row r="252" ht="14.2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</row>
    <row r="253" ht="14.2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</row>
    <row r="254" ht="14.2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</row>
    <row r="255" ht="14.2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</row>
    <row r="256" ht="14.2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</row>
    <row r="257" ht="14.2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</row>
    <row r="258" ht="14.2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</row>
    <row r="259" ht="14.2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</row>
    <row r="260" ht="14.2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</row>
    <row r="261" ht="14.2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</row>
    <row r="262" ht="14.2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</row>
    <row r="263" ht="14.2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</row>
    <row r="264" ht="14.2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</row>
    <row r="265" ht="14.2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</row>
    <row r="266" ht="14.2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</row>
    <row r="267" ht="14.2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</row>
    <row r="268" ht="14.2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</row>
    <row r="269" ht="14.2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</row>
    <row r="270" ht="14.2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</row>
    <row r="271" ht="14.2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</row>
    <row r="272" ht="14.2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</row>
    <row r="273" ht="14.2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</row>
    <row r="274" ht="14.2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</row>
    <row r="275" ht="14.2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</row>
    <row r="276" ht="14.2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</row>
    <row r="277" ht="14.2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</row>
    <row r="278" ht="14.2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</row>
    <row r="279" ht="14.2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</row>
    <row r="280" ht="14.2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</row>
    <row r="281" ht="14.2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</row>
    <row r="282" ht="14.2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</row>
    <row r="283" ht="14.2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</row>
    <row r="284" ht="14.2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</row>
    <row r="285" ht="14.2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</row>
    <row r="286" ht="14.2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</row>
    <row r="287" ht="14.2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</row>
    <row r="288" ht="14.2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</row>
    <row r="289" ht="14.2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</row>
    <row r="290" ht="14.2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</row>
    <row r="291" ht="14.2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</row>
    <row r="292" ht="14.2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</row>
    <row r="293" ht="14.2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</row>
    <row r="294" ht="14.2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</row>
    <row r="295" ht="14.2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</row>
    <row r="296" ht="14.2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</row>
    <row r="297" ht="14.2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</row>
    <row r="298" ht="14.2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</row>
    <row r="299" ht="14.2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</row>
    <row r="300" ht="14.2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</row>
    <row r="301" ht="14.2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</row>
    <row r="302" ht="14.2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</row>
    <row r="303" ht="14.2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</row>
    <row r="304" ht="14.2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</row>
    <row r="305" ht="14.2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</row>
    <row r="306" ht="14.2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</row>
    <row r="307" ht="14.2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</row>
    <row r="308" ht="14.2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</row>
    <row r="309" ht="14.2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</row>
    <row r="310" ht="14.2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</row>
    <row r="311" ht="14.2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</row>
    <row r="312" ht="14.2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</row>
    <row r="313" ht="14.2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</row>
    <row r="314" ht="14.2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</row>
    <row r="315" ht="14.2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</row>
    <row r="316" ht="14.2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</row>
    <row r="317" ht="14.2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</row>
    <row r="318" ht="14.2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</row>
    <row r="319" ht="14.2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</row>
    <row r="320" ht="14.2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</row>
    <row r="321" ht="14.2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</row>
    <row r="322" ht="14.2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</row>
    <row r="323" ht="14.2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</row>
    <row r="324" ht="14.2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</row>
    <row r="325" ht="14.2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</row>
    <row r="326" ht="14.2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</row>
    <row r="327" ht="14.2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</row>
    <row r="328" ht="14.2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</row>
    <row r="329" ht="14.2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</row>
    <row r="330" ht="14.2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</row>
    <row r="331" ht="14.2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</row>
    <row r="332" ht="14.2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</row>
    <row r="333" ht="14.2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</row>
    <row r="334" ht="14.2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</row>
    <row r="335" ht="14.2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</row>
    <row r="336" ht="14.2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</row>
    <row r="337" ht="14.2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</row>
    <row r="338" ht="14.2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</row>
    <row r="339" ht="14.2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</row>
    <row r="340" ht="14.2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</row>
    <row r="341" ht="14.2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</row>
    <row r="342" ht="14.2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</row>
    <row r="343" ht="14.2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</row>
    <row r="344" ht="14.2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</row>
    <row r="345" ht="14.2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</row>
    <row r="346" ht="14.2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</row>
    <row r="347" ht="14.2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</row>
    <row r="348" ht="14.2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</row>
    <row r="349" ht="14.2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</row>
    <row r="350" ht="14.2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</row>
    <row r="351" ht="14.2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</row>
    <row r="352" ht="14.2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</row>
    <row r="353" ht="14.2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</row>
    <row r="354" ht="14.2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</row>
    <row r="355" ht="14.2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</row>
    <row r="356" ht="14.2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</row>
    <row r="357" ht="14.2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</row>
    <row r="358" ht="14.2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</row>
    <row r="359" ht="14.2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</row>
    <row r="360" ht="14.2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</row>
    <row r="361" ht="14.2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</row>
    <row r="362" ht="14.2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</row>
    <row r="363" ht="14.2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</row>
    <row r="364" ht="14.2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</row>
    <row r="365" ht="14.2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</row>
    <row r="366" ht="14.2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</row>
    <row r="367" ht="14.2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</row>
    <row r="368" ht="14.2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</row>
    <row r="369" ht="14.2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</row>
    <row r="370" ht="14.2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</row>
    <row r="371" ht="14.2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</row>
    <row r="372" ht="14.2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</row>
    <row r="373" ht="14.2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</row>
    <row r="374" ht="14.2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</row>
    <row r="375" ht="14.2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</row>
    <row r="376" ht="14.2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</row>
    <row r="377" ht="14.2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</row>
    <row r="378" ht="14.2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</row>
    <row r="379" ht="14.2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</row>
    <row r="380" ht="14.2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</row>
    <row r="381" ht="14.2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</row>
    <row r="382" ht="14.2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</row>
    <row r="383" ht="14.2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</row>
    <row r="384" ht="14.2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</row>
    <row r="385" ht="14.2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</row>
    <row r="386" ht="14.2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</row>
    <row r="387" ht="14.2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</row>
    <row r="388" ht="14.2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</row>
    <row r="389" ht="14.2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</row>
    <row r="390" ht="14.2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</row>
    <row r="391" ht="14.2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</row>
    <row r="392" ht="14.2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</row>
    <row r="393" ht="14.2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</row>
    <row r="394" ht="14.2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</row>
    <row r="395" ht="14.2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</row>
    <row r="396" ht="14.2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</row>
    <row r="397" ht="14.2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</row>
    <row r="398" ht="14.2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</row>
    <row r="399" ht="14.2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</row>
    <row r="400" ht="14.2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</row>
    <row r="401" ht="14.2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</row>
    <row r="402" ht="14.2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</row>
    <row r="403" ht="14.2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</row>
    <row r="404" ht="14.2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</row>
    <row r="405" ht="14.2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</row>
    <row r="406" ht="14.2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</row>
    <row r="407" ht="14.2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</row>
    <row r="408" ht="14.2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</row>
    <row r="409" ht="14.2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</row>
    <row r="410" ht="14.2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</row>
    <row r="411" ht="14.2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</row>
    <row r="412" ht="14.2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</row>
    <row r="413" ht="14.2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</row>
    <row r="414" ht="14.2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</row>
    <row r="415" ht="14.2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</row>
    <row r="416" ht="14.2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</row>
    <row r="417" ht="14.2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</row>
    <row r="418" ht="14.2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</row>
    <row r="419" ht="14.2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</row>
    <row r="420" ht="14.2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</row>
    <row r="421" ht="14.2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</row>
    <row r="422" ht="14.2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</row>
    <row r="423" ht="14.2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</row>
    <row r="424" ht="14.2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</row>
    <row r="425" ht="14.2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</row>
    <row r="426" ht="14.2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</row>
    <row r="427" ht="14.2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</row>
    <row r="428" ht="14.2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</row>
    <row r="429" ht="14.2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</row>
    <row r="430" ht="14.2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</row>
    <row r="431" ht="14.2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</row>
    <row r="432" ht="14.2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</row>
    <row r="433" ht="14.2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</row>
    <row r="434" ht="14.2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</row>
    <row r="435" ht="14.2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</row>
    <row r="436" ht="14.2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</row>
    <row r="437" ht="14.2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</row>
    <row r="438" ht="14.2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</row>
    <row r="439" ht="14.2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</row>
    <row r="440" ht="14.2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</row>
    <row r="441" ht="14.2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</row>
    <row r="442" ht="14.2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</row>
    <row r="443" ht="14.2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</row>
    <row r="444" ht="14.2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</row>
    <row r="445" ht="14.2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</row>
    <row r="446" ht="14.2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</row>
    <row r="447" ht="14.2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</row>
    <row r="448" ht="14.2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</row>
    <row r="449" ht="14.2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</row>
    <row r="450" ht="14.2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</row>
    <row r="451" ht="14.2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</row>
    <row r="452" ht="14.2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</row>
    <row r="453" ht="14.2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</row>
    <row r="454" ht="14.2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</row>
    <row r="455" ht="14.2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</row>
    <row r="456" ht="14.2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</row>
    <row r="457" ht="14.2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</row>
    <row r="458" ht="14.2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</row>
    <row r="459" ht="14.2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</row>
    <row r="460" ht="14.2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</row>
    <row r="461" ht="14.2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</row>
    <row r="462" ht="14.2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</row>
    <row r="463" ht="14.2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</row>
    <row r="464" ht="14.2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</row>
    <row r="465" ht="14.2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</row>
    <row r="466" ht="14.2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</row>
    <row r="467" ht="14.2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</row>
    <row r="468" ht="14.2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</row>
    <row r="469" ht="14.2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</row>
    <row r="470" ht="14.2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</row>
    <row r="471" ht="14.2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</row>
    <row r="472" ht="14.2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</row>
    <row r="473" ht="14.2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</row>
    <row r="474" ht="14.2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</row>
    <row r="475" ht="14.2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</row>
    <row r="476" ht="14.2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</row>
    <row r="477" ht="14.2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</row>
    <row r="478" ht="14.2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</row>
    <row r="479" ht="14.2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</row>
    <row r="480" ht="14.2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</row>
    <row r="481" ht="14.2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</row>
    <row r="482" ht="14.2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</row>
    <row r="483" ht="14.2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</row>
    <row r="484" ht="14.2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</row>
    <row r="485" ht="14.2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</row>
    <row r="486" ht="14.2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</row>
    <row r="487" ht="14.2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</row>
    <row r="488" ht="14.2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</row>
    <row r="489" ht="14.2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</row>
    <row r="490" ht="14.2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</row>
    <row r="491" ht="14.2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</row>
    <row r="492" ht="14.2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</row>
    <row r="493" ht="14.2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</row>
    <row r="494" ht="14.2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</row>
    <row r="495" ht="14.2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</row>
    <row r="496" ht="14.2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</row>
    <row r="497" ht="14.2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</row>
    <row r="498" ht="14.2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</row>
    <row r="499" ht="14.2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</row>
    <row r="500" ht="14.2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</row>
    <row r="501" ht="14.2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</row>
    <row r="502" ht="14.2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</row>
    <row r="503" ht="14.2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</row>
    <row r="504" ht="14.2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</row>
    <row r="505" ht="14.2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</row>
    <row r="506" ht="14.2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</row>
    <row r="507" ht="14.2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</row>
    <row r="508" ht="14.2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</row>
    <row r="509" ht="14.2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</row>
    <row r="510" ht="14.2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</row>
    <row r="511" ht="14.2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</row>
    <row r="512" ht="14.2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</row>
    <row r="513" ht="14.2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</row>
    <row r="514" ht="14.2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</row>
    <row r="515" ht="14.2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</row>
    <row r="516" ht="14.2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</row>
    <row r="517" ht="14.2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</row>
    <row r="518" ht="14.2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</row>
    <row r="519" ht="14.2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</row>
    <row r="520" ht="14.2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</row>
    <row r="521" ht="14.2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</row>
    <row r="522" ht="14.2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</row>
    <row r="523" ht="14.2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</row>
    <row r="524" ht="14.2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</row>
    <row r="525" ht="14.2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</row>
    <row r="526" ht="14.2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</row>
    <row r="527" ht="14.2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</row>
    <row r="528" ht="14.2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</row>
    <row r="529" ht="14.2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</row>
    <row r="530" ht="14.2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</row>
    <row r="531" ht="14.2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</row>
    <row r="532" ht="14.2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</row>
    <row r="533" ht="14.2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</row>
    <row r="534" ht="14.2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</row>
    <row r="535" ht="14.2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</row>
    <row r="536" ht="14.2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</row>
    <row r="537" ht="14.2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</row>
    <row r="538" ht="14.2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</row>
    <row r="539" ht="14.2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</row>
    <row r="540" ht="14.2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</row>
    <row r="541" ht="14.2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</row>
    <row r="542" ht="14.2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</row>
    <row r="543" ht="14.2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</row>
    <row r="544" ht="14.2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</row>
    <row r="545" ht="14.2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</row>
    <row r="546" ht="14.2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</row>
    <row r="547" ht="14.2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</row>
    <row r="548" ht="14.2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</row>
    <row r="549" ht="14.2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</row>
    <row r="550" ht="14.2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</row>
    <row r="551" ht="14.2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</row>
    <row r="552" ht="14.2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</row>
    <row r="553" ht="14.2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</row>
    <row r="554" ht="14.2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</row>
    <row r="555" ht="14.2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</row>
    <row r="556" ht="14.2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</row>
    <row r="557" ht="14.2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</row>
    <row r="558" ht="14.2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</row>
    <row r="559" ht="14.2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</row>
    <row r="560" ht="14.2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</row>
    <row r="561" ht="14.2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</row>
    <row r="562" ht="14.2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</row>
    <row r="563" ht="14.2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</row>
    <row r="564" ht="14.2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</row>
    <row r="565" ht="14.2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</row>
    <row r="566" ht="14.2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</row>
    <row r="567" ht="14.2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</row>
    <row r="568" ht="14.2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</row>
    <row r="569" ht="14.2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</row>
    <row r="570" ht="14.2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</row>
    <row r="571" ht="14.2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</row>
    <row r="572" ht="14.2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</row>
    <row r="573" ht="14.2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</row>
    <row r="574" ht="14.2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</row>
    <row r="575" ht="14.2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</row>
    <row r="576" ht="14.2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</row>
    <row r="577" ht="14.2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</row>
    <row r="578" ht="14.2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</row>
    <row r="579" ht="14.2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</row>
    <row r="580" ht="14.2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</row>
    <row r="581" ht="14.2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</row>
    <row r="582" ht="14.2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</row>
    <row r="583" ht="14.2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</row>
    <row r="584" ht="14.2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</row>
    <row r="585" ht="14.2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</row>
    <row r="586" ht="14.2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</row>
    <row r="587" ht="14.2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</row>
    <row r="588" ht="14.2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</row>
    <row r="589" ht="14.2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</row>
    <row r="590" ht="14.2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</row>
    <row r="591" ht="14.2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</row>
    <row r="592" ht="14.2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</row>
    <row r="593" ht="14.2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</row>
    <row r="594" ht="14.2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</row>
    <row r="595" ht="14.2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</row>
    <row r="596" ht="14.2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</row>
    <row r="597" ht="14.2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</row>
    <row r="598" ht="14.2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</row>
    <row r="599" ht="14.2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</row>
    <row r="600" ht="14.2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</row>
    <row r="601" ht="14.2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</row>
    <row r="602" ht="14.2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</row>
    <row r="603" ht="14.2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</row>
    <row r="604" ht="14.2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</row>
    <row r="605" ht="14.2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</row>
    <row r="606" ht="14.2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</row>
    <row r="607" ht="14.2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</row>
    <row r="608" ht="14.2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</row>
    <row r="609" ht="14.2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</row>
    <row r="610" ht="14.2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</row>
    <row r="611" ht="14.2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</row>
    <row r="612" ht="14.2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</row>
    <row r="613" ht="14.2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</row>
    <row r="614" ht="14.2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</row>
    <row r="615" ht="14.2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</row>
    <row r="616" ht="14.2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</row>
    <row r="617" ht="14.2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</row>
    <row r="618" ht="14.2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</row>
    <row r="619" ht="14.2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</row>
    <row r="620" ht="14.2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</row>
    <row r="621" ht="14.2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</row>
    <row r="622" ht="14.2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</row>
    <row r="623" ht="14.2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</row>
    <row r="624" ht="14.2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</row>
    <row r="625" ht="14.2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</row>
    <row r="626" ht="14.2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</row>
    <row r="627" ht="14.2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</row>
    <row r="628" ht="14.2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</row>
    <row r="629" ht="14.2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</row>
    <row r="630" ht="14.2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</row>
    <row r="631" ht="14.2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</row>
    <row r="632" ht="14.2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</row>
    <row r="633" ht="14.2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</row>
    <row r="634" ht="14.2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</row>
    <row r="635" ht="14.2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</row>
    <row r="636" ht="14.2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</row>
    <row r="637" ht="14.2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</row>
    <row r="638" ht="14.2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</row>
    <row r="639" ht="14.2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</row>
    <row r="640" ht="14.2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</row>
    <row r="641" ht="14.2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</row>
    <row r="642" ht="14.2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</row>
    <row r="643" ht="14.2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</row>
    <row r="644" ht="14.2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</row>
    <row r="645" ht="14.2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</row>
    <row r="646" ht="14.2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</row>
    <row r="647" ht="14.2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</row>
    <row r="648" ht="14.2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</row>
    <row r="649" ht="14.2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</row>
    <row r="650" ht="14.2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</row>
    <row r="651" ht="14.2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</row>
    <row r="652" ht="14.2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</row>
    <row r="653" ht="14.2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</row>
    <row r="654" ht="14.2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</row>
    <row r="655" ht="14.2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</row>
    <row r="656" ht="14.2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</row>
    <row r="657" ht="14.2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</row>
    <row r="658" ht="14.2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</row>
    <row r="659" ht="14.2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</row>
    <row r="660" ht="14.2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</row>
    <row r="661" ht="14.2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</row>
    <row r="662" ht="14.2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</row>
    <row r="663" ht="14.2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</row>
    <row r="664" ht="14.2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</row>
    <row r="665" ht="14.2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</row>
    <row r="666" ht="14.2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</row>
    <row r="667" ht="14.2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</row>
    <row r="668" ht="14.2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</row>
    <row r="669" ht="14.2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</row>
    <row r="670" ht="14.2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</row>
    <row r="671" ht="14.2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</row>
    <row r="672" ht="14.2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</row>
    <row r="673" ht="14.2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</row>
    <row r="674" ht="14.2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</row>
    <row r="675" ht="14.2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</row>
    <row r="676" ht="14.2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</row>
    <row r="677" ht="14.2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</row>
    <row r="678" ht="14.2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</row>
    <row r="679" ht="14.2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</row>
    <row r="680" ht="14.2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</row>
    <row r="681" ht="14.2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</row>
    <row r="682" ht="14.2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</row>
    <row r="683" ht="14.2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</row>
    <row r="684" ht="14.2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</row>
    <row r="685" ht="14.2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</row>
    <row r="686" ht="14.2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</row>
    <row r="687" ht="14.2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</row>
    <row r="688" ht="14.2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</row>
    <row r="689" ht="14.2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</row>
    <row r="690" ht="14.2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</row>
    <row r="691" ht="14.2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</row>
    <row r="692" ht="14.2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</row>
    <row r="693" ht="14.2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</row>
    <row r="694" ht="14.2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</row>
    <row r="695" ht="14.2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</row>
    <row r="696" ht="14.2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</row>
    <row r="697" ht="14.2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</row>
    <row r="698" ht="14.2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</row>
    <row r="699" ht="14.2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</row>
    <row r="700" ht="14.2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</row>
    <row r="701" ht="14.2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</row>
    <row r="702" ht="14.2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</row>
    <row r="703" ht="14.2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</row>
    <row r="704" ht="14.2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</row>
    <row r="705" ht="14.2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</row>
    <row r="706" ht="14.2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</row>
    <row r="707" ht="14.2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</row>
    <row r="708" ht="14.2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</row>
    <row r="709" ht="14.2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</row>
    <row r="710" ht="14.2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</row>
    <row r="711" ht="14.2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</row>
    <row r="712" ht="14.2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</row>
    <row r="713" ht="14.2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</row>
    <row r="714" ht="14.2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</row>
    <row r="715" ht="14.2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</row>
    <row r="716" ht="14.2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</row>
    <row r="717" ht="14.2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</row>
    <row r="718" ht="14.2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</row>
    <row r="719" ht="14.2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</row>
    <row r="720" ht="14.2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</row>
    <row r="721" ht="14.2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</row>
    <row r="722" ht="14.2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</row>
    <row r="723" ht="14.2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</row>
    <row r="724" ht="14.2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</row>
    <row r="725" ht="14.2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</row>
    <row r="726" ht="14.2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</row>
    <row r="727" ht="14.2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</row>
    <row r="728" ht="14.2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</row>
    <row r="729" ht="14.2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</row>
    <row r="730" ht="14.2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</row>
    <row r="731" ht="14.2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</row>
    <row r="732" ht="14.2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</row>
    <row r="733" ht="14.2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</row>
    <row r="734" ht="14.2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</row>
    <row r="735" ht="14.2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</row>
    <row r="736" ht="14.2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</row>
    <row r="737" ht="14.2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</row>
    <row r="738" ht="14.2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</row>
    <row r="739" ht="14.2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</row>
    <row r="740" ht="14.2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</row>
    <row r="741" ht="14.2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</row>
    <row r="742" ht="14.2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</row>
    <row r="743" ht="14.2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</row>
    <row r="744" ht="14.2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</row>
    <row r="745" ht="14.2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</row>
    <row r="746" ht="14.2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</row>
    <row r="747" ht="14.2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</row>
    <row r="748" ht="14.2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</row>
    <row r="749" ht="14.2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</row>
    <row r="750" ht="14.2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</row>
    <row r="751" ht="14.2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</row>
    <row r="752" ht="14.2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</row>
    <row r="753" ht="14.2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</row>
    <row r="754" ht="14.2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</row>
    <row r="755" ht="14.2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</row>
    <row r="756" ht="14.2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</row>
    <row r="757" ht="14.2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</row>
    <row r="758" ht="14.2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</row>
    <row r="759" ht="14.2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</row>
    <row r="760" ht="14.2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</row>
    <row r="761" ht="14.2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</row>
    <row r="762" ht="14.2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</row>
    <row r="763" ht="14.2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</row>
    <row r="764" ht="14.2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</row>
    <row r="765" ht="14.2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</row>
    <row r="766" ht="14.2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</row>
    <row r="767" ht="14.2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</row>
    <row r="768" ht="14.2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</row>
    <row r="769" ht="14.2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</row>
    <row r="770" ht="14.2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</row>
    <row r="771" ht="14.2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</row>
    <row r="772" ht="14.2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</row>
    <row r="773" ht="14.2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</row>
    <row r="774" ht="14.2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</row>
    <row r="775" ht="14.2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</row>
    <row r="776" ht="14.2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</row>
    <row r="777" ht="14.2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</row>
    <row r="778" ht="14.2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</row>
    <row r="779" ht="14.2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</row>
    <row r="780" ht="14.2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</row>
    <row r="781" ht="14.2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</row>
    <row r="782" ht="14.2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</row>
    <row r="783" ht="14.2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</row>
    <row r="784" ht="14.2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</row>
    <row r="785" ht="14.2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</row>
    <row r="786" ht="14.2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</row>
    <row r="787" ht="14.2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</row>
    <row r="788" ht="14.2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</row>
    <row r="789" ht="14.2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</row>
    <row r="790" ht="14.2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</row>
    <row r="791" ht="14.2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</row>
    <row r="792" ht="14.2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</row>
    <row r="793" ht="14.2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</row>
    <row r="794" ht="14.2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</row>
    <row r="795" ht="14.2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</row>
    <row r="796" ht="14.2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</row>
    <row r="797" ht="14.2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</row>
    <row r="798" ht="14.2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</row>
    <row r="799" ht="14.2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</row>
    <row r="800" ht="14.2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</row>
    <row r="801" ht="14.2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</row>
    <row r="802" ht="14.2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</row>
    <row r="803" ht="14.2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</row>
    <row r="804" ht="14.2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</row>
    <row r="805" ht="14.2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</row>
    <row r="806" ht="14.2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</row>
    <row r="807" ht="14.2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</row>
    <row r="808" ht="14.2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</row>
    <row r="809" ht="14.2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</row>
    <row r="810" ht="14.2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</row>
    <row r="811" ht="14.2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</row>
    <row r="812" ht="14.2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</row>
    <row r="813" ht="14.2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</row>
    <row r="814" ht="14.2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</row>
    <row r="815" ht="14.2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</row>
    <row r="816" ht="14.2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</row>
    <row r="817" ht="14.2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</row>
    <row r="818" ht="14.2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</row>
    <row r="819" ht="14.2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</row>
    <row r="820" ht="14.2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</row>
    <row r="821" ht="14.2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</row>
    <row r="822" ht="14.2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</row>
    <row r="823" ht="14.2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</row>
    <row r="824" ht="14.2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</row>
    <row r="825" ht="14.2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</row>
    <row r="826" ht="14.2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</row>
    <row r="827" ht="14.2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</row>
    <row r="828" ht="14.2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</row>
    <row r="829" ht="14.2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</row>
    <row r="830" ht="14.2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</row>
    <row r="831" ht="14.2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</row>
    <row r="832" ht="14.2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</row>
    <row r="833" ht="14.2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</row>
    <row r="834" ht="14.2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</row>
    <row r="835" ht="14.2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</row>
    <row r="836" ht="14.2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</row>
    <row r="837" ht="14.2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</row>
    <row r="838" ht="14.2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</row>
    <row r="839" ht="14.2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</row>
    <row r="840" ht="14.2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</row>
    <row r="841" ht="14.2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</row>
    <row r="842" ht="14.2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</row>
    <row r="843" ht="14.2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</row>
    <row r="844" ht="14.2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</row>
    <row r="845" ht="14.2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</row>
    <row r="846" ht="14.2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</row>
    <row r="847" ht="14.2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</row>
    <row r="848" ht="14.2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</row>
    <row r="849" ht="14.2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</row>
    <row r="850" ht="14.2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</row>
    <row r="851" ht="14.2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</row>
    <row r="852" ht="14.2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</row>
    <row r="853" ht="14.2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</row>
    <row r="854" ht="14.2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</row>
    <row r="855" ht="14.2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</row>
    <row r="856" ht="14.2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</row>
    <row r="857" ht="14.2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</row>
    <row r="858" ht="14.2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</row>
    <row r="859" ht="14.2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</row>
    <row r="860" ht="14.2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</row>
    <row r="861" ht="14.2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</row>
    <row r="862" ht="14.2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</row>
    <row r="863" ht="14.2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</row>
    <row r="864" ht="14.2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</row>
    <row r="865" ht="14.2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</row>
    <row r="866" ht="14.2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</row>
    <row r="867" ht="14.2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</row>
    <row r="868" ht="14.2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</row>
    <row r="869" ht="14.2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</row>
    <row r="870" ht="14.2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</row>
    <row r="871" ht="14.2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</row>
    <row r="872" ht="14.2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</row>
    <row r="873" ht="14.2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</row>
    <row r="874" ht="14.2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</row>
    <row r="875" ht="14.2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</row>
    <row r="876" ht="14.2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</row>
    <row r="877" ht="14.2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</row>
    <row r="878" ht="14.2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</row>
    <row r="879" ht="14.2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</row>
    <row r="880" ht="14.2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</row>
    <row r="881" ht="14.2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</row>
    <row r="882" ht="14.2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</row>
    <row r="883" ht="14.2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</row>
    <row r="884" ht="14.2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</row>
    <row r="885" ht="14.2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</row>
    <row r="886" ht="14.2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</row>
    <row r="887" ht="14.2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</row>
    <row r="888" ht="14.2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</row>
    <row r="889" ht="14.2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</row>
    <row r="890" ht="14.2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</row>
    <row r="891" ht="14.2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</row>
    <row r="892" ht="14.2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</row>
    <row r="893" ht="14.2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</row>
    <row r="894" ht="14.2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</row>
    <row r="895" ht="14.2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</row>
    <row r="896" ht="14.2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</row>
    <row r="897" ht="14.2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</row>
    <row r="898" ht="14.2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</row>
    <row r="899" ht="14.2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</row>
    <row r="900" ht="14.2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</row>
    <row r="901" ht="14.2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</row>
    <row r="902" ht="14.2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</row>
    <row r="903" ht="14.2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</row>
    <row r="904" ht="14.2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</row>
    <row r="905" ht="14.2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</row>
    <row r="906" ht="14.2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</row>
    <row r="907" ht="14.2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</row>
    <row r="908" ht="14.2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</row>
    <row r="909" ht="14.2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</row>
    <row r="910" ht="14.2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</row>
    <row r="911" ht="14.2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</row>
    <row r="912" ht="14.2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</row>
    <row r="913" ht="14.2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</row>
    <row r="914" ht="14.2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</row>
    <row r="915" ht="14.2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</row>
    <row r="916" ht="14.2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</row>
    <row r="917" ht="14.2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</row>
    <row r="918" ht="14.2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</row>
    <row r="919" ht="14.2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</row>
    <row r="920" ht="14.2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</row>
    <row r="921" ht="14.2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</row>
    <row r="922" ht="14.2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</row>
    <row r="923" ht="14.2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</row>
    <row r="924" ht="14.2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</row>
    <row r="925" ht="14.2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</row>
    <row r="926" ht="14.2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</row>
    <row r="927" ht="14.2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</row>
    <row r="928" ht="14.2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</row>
    <row r="929" ht="14.2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</row>
    <row r="930" ht="14.2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</row>
    <row r="931" ht="14.2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</row>
    <row r="932" ht="14.2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</row>
    <row r="933" ht="14.2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</row>
    <row r="934" ht="14.2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</row>
    <row r="935" ht="14.2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</row>
    <row r="936" ht="14.2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</row>
    <row r="937" ht="14.2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</row>
    <row r="938" ht="14.2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</row>
    <row r="939" ht="14.2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</row>
    <row r="940" ht="14.2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</row>
    <row r="941" ht="14.2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</row>
    <row r="942" ht="14.2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</row>
    <row r="943" ht="14.2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</row>
    <row r="944" ht="14.2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</row>
    <row r="945" ht="14.2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</row>
    <row r="946" ht="14.2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</row>
    <row r="947" ht="14.2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</row>
    <row r="948" ht="14.2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</row>
    <row r="949" ht="14.2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</row>
    <row r="950" ht="14.2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</row>
    <row r="951" ht="14.2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</row>
    <row r="952" ht="14.2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</row>
    <row r="953" ht="14.2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</row>
    <row r="954" ht="14.2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</row>
    <row r="955" ht="14.2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</row>
    <row r="956" ht="14.2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</row>
    <row r="957" ht="14.2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</row>
    <row r="958" ht="14.2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</row>
    <row r="959" ht="14.2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</row>
    <row r="960" ht="14.2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</row>
    <row r="961" ht="14.2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</row>
    <row r="962" ht="14.2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</row>
    <row r="963" ht="14.2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</row>
    <row r="964" ht="14.2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</row>
    <row r="965" ht="14.2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</row>
    <row r="966" ht="14.2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</row>
    <row r="967" ht="14.2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</row>
    <row r="968" ht="14.2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</row>
    <row r="969" ht="14.2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</row>
    <row r="970" ht="14.2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</row>
    <row r="971" ht="14.2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</row>
    <row r="972" ht="14.2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</row>
    <row r="973" ht="14.2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</row>
    <row r="974" ht="14.2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</row>
    <row r="975" ht="14.2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</row>
    <row r="976" ht="14.2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</row>
    <row r="977" ht="14.2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</row>
    <row r="978" ht="14.2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</row>
    <row r="979" ht="14.2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</row>
    <row r="980" ht="14.2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</row>
    <row r="981" ht="14.2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</row>
    <row r="982" ht="14.2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</row>
    <row r="983" ht="14.2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</row>
    <row r="984" ht="14.2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</row>
    <row r="985" ht="14.2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</row>
    <row r="986" ht="14.2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</row>
    <row r="987" ht="14.2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</row>
    <row r="988" ht="14.2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</row>
    <row r="989" ht="14.2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</row>
    <row r="990" ht="14.2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</row>
    <row r="991" ht="14.2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</row>
    <row r="992" ht="14.2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</row>
    <row r="993" ht="14.2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</row>
    <row r="994" ht="14.2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</row>
    <row r="995" ht="14.2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</row>
    <row r="996" ht="14.2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</row>
    <row r="997" ht="14.2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</row>
    <row r="998" ht="14.2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</row>
    <row r="999" ht="14.2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</row>
    <row r="1000" ht="14.2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</row>
  </sheetData>
  <mergeCells count="38"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  <mergeCell ref="T3:T4"/>
    <mergeCell ref="AI3:AI4"/>
    <mergeCell ref="AJ3:AJ4"/>
    <mergeCell ref="A1:AJ1"/>
    <mergeCell ref="C2:G2"/>
    <mergeCell ref="A3:A5"/>
    <mergeCell ref="C3:C4"/>
    <mergeCell ref="D3:D4"/>
    <mergeCell ref="E3:E4"/>
    <mergeCell ref="F3:F4"/>
    <mergeCell ref="U3:U4"/>
    <mergeCell ref="V3:V4"/>
    <mergeCell ref="W3:W4"/>
    <mergeCell ref="X3:X4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4:AM6"/>
  </mergeCells>
  <conditionalFormatting sqref="C6:AJ29">
    <cfRule type="cellIs" dxfId="0" priority="1" operator="equal">
      <formula>"*"</formula>
    </cfRule>
  </conditionalFormatting>
  <printOptions/>
  <pageMargins bottom="0.75" footer="0.0" header="0.0" left="0.7" right="0.7" top="0.75"/>
  <pageSetup paperSize="9" scale="35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0.0"/>
    <col customWidth="1" min="2" max="2" width="9.14"/>
    <col customWidth="1" min="3" max="3" width="73.14"/>
    <col customWidth="1" min="4" max="6" width="9.14"/>
    <col customWidth="1" min="7" max="26" width="8.71"/>
  </cols>
  <sheetData>
    <row r="1" ht="30.0" customHeight="1">
      <c r="A1" s="1" t="s">
        <v>1</v>
      </c>
      <c r="B1" s="3"/>
      <c r="C1" s="4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56.25" customHeight="1">
      <c r="A2" s="3"/>
      <c r="B2" s="3"/>
      <c r="C2" s="9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56.25" customHeight="1">
      <c r="A3" s="18" t="s">
        <v>9</v>
      </c>
      <c r="B3" s="3"/>
      <c r="C3" s="22" t="s">
        <v>11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56.25" customHeight="1">
      <c r="A4" s="18" t="s">
        <v>14</v>
      </c>
      <c r="B4" s="3"/>
      <c r="C4" s="25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56.25" customHeight="1">
      <c r="A5" s="18" t="s">
        <v>15</v>
      </c>
      <c r="B5" s="3"/>
      <c r="C5" s="25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56.25" customHeight="1">
      <c r="A6" s="18" t="s">
        <v>16</v>
      </c>
      <c r="B6" s="3"/>
      <c r="C6" s="25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56.25" customHeight="1">
      <c r="A7" s="18" t="s">
        <v>16</v>
      </c>
      <c r="B7" s="3"/>
      <c r="C7" s="25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56.25" customHeight="1">
      <c r="A8" s="18" t="s">
        <v>16</v>
      </c>
      <c r="B8" s="3"/>
      <c r="C8" s="25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56.25" customHeight="1">
      <c r="A9" s="18"/>
      <c r="B9" s="3"/>
      <c r="C9" s="25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56.25" customHeight="1">
      <c r="A10" s="18"/>
      <c r="B10" s="3"/>
      <c r="C10" s="2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56.25" customHeight="1">
      <c r="A11" s="18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56.25" customHeight="1">
      <c r="A12" s="18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56.25" customHeight="1">
      <c r="A13" s="18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56.25" customHeight="1">
      <c r="A14" s="18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56.25" customHeight="1">
      <c r="A15" s="18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4.25" customHeight="1">
      <c r="A16" s="18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4.25" customHeight="1">
      <c r="A17" s="18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4.25" customHeight="1">
      <c r="A18" s="18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4.25" customHeight="1">
      <c r="A19" s="18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4.25" customHeight="1">
      <c r="A20" s="18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4.25" customHeight="1">
      <c r="A21" s="18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4.25" customHeight="1">
      <c r="A22" s="18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4.25" customHeight="1">
      <c r="A23" s="18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4.25" customHeight="1">
      <c r="A24" s="18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4.25" customHeight="1">
      <c r="A25" s="18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4.25" customHeight="1">
      <c r="A26" s="18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4.25" customHeight="1">
      <c r="A27" s="18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4.25" customHeight="1">
      <c r="A28" s="18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4.25" customHeight="1">
      <c r="A29" s="18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4.25" customHeight="1">
      <c r="A30" s="18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4.25" customHeight="1">
      <c r="A31" s="18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4.25" customHeight="1">
      <c r="A32" s="18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4.25" customHeight="1">
      <c r="A33" s="18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4.25" customHeight="1">
      <c r="A34" s="18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4.25" customHeight="1">
      <c r="A35" s="18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4.25" customHeight="1">
      <c r="A36" s="18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4.25" customHeight="1">
      <c r="A37" s="18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4.25" customHeight="1">
      <c r="A38" s="18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4.25" customHeight="1">
      <c r="A39" s="18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4.25" customHeight="1">
      <c r="A40" s="18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4.25" customHeight="1">
      <c r="A41" s="18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4.25" customHeight="1">
      <c r="A42" s="18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4.25" customHeight="1">
      <c r="A43" s="18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4.25" customHeight="1">
      <c r="A44" s="18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4.25" customHeight="1">
      <c r="A45" s="18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4.25" customHeight="1">
      <c r="A46" s="18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4.25" customHeight="1">
      <c r="A47" s="18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4.25" customHeight="1">
      <c r="A48" s="18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4.25" customHeight="1">
      <c r="A49" s="18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4.25" customHeight="1">
      <c r="A50" s="18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4.25" customHeight="1">
      <c r="A51" s="18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4.25" customHeight="1">
      <c r="A52" s="18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4.25" customHeight="1">
      <c r="A53" s="18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4.25" customHeight="1">
      <c r="A54" s="18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4.25" customHeight="1">
      <c r="A55" s="18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4.25" customHeight="1">
      <c r="A56" s="18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4.25" customHeight="1">
      <c r="A57" s="18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4.25" customHeight="1">
      <c r="A58" s="18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4.25" customHeight="1">
      <c r="A59" s="18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4.25" customHeight="1">
      <c r="A60" s="18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4.25" customHeight="1">
      <c r="A61" s="18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4.25" customHeight="1">
      <c r="A62" s="18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4.25" customHeight="1">
      <c r="A63" s="18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4.25" customHeight="1">
      <c r="A64" s="18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4.25" customHeight="1">
      <c r="A65" s="18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4.25" customHeight="1">
      <c r="A66" s="18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4.25" customHeight="1">
      <c r="A67" s="18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4.25" customHeight="1">
      <c r="A68" s="18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4.25" customHeight="1">
      <c r="A69" s="18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4.25" customHeight="1">
      <c r="A70" s="18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4.25" customHeight="1">
      <c r="A71" s="18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4.2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4.2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4.2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4.2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4.2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4.2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4.2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4.2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4.2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4.2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4.2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4.2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4.2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4.2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4.2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4.2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4.2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4.2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4.2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4.2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4.2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4.2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4.2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4.2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4.2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4.2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4.2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4.2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4.2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4.2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4.2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4.2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4.2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4.2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4.2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4.2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4.2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4.2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4.2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4.2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4.2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4.2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4.2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4.2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4.2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4.2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4.2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4.2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4.2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4.2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4.2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4.2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4.2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4.2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4.2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4.2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4.2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4.2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4.2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4.2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4.2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4.2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4.2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4.2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4.2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4.2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4.2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4.2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4.2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4.2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4.2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4.2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4.2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4.2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4.2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4.2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4.2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4.2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4.2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4.2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4.2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4.2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4.2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4.2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4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4.2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4.2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4.2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4.2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4.2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4.2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4.2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4.2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4.2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4.2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4.2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4.2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4.2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4.2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4.2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4.2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4.2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4.2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4.2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4.2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4.2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4.2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4.2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4.2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4.2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4.2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4.2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4.2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4.2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4.2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4.2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4.2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4.2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4.2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4.2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4.2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4.2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4.2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4.2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4.2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4.2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4.2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4.2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4.2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4.2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4.2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4.2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4.2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4.2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4.2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4.2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4.2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4.2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4.2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4.2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4.2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4.2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4.2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4.2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4.2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4.2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4.2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4.2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4.2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4.2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4.2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4.2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4.2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4.2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4.2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4.2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4.2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4.2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4.2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4.2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4.2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4.2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4.2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4.2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4.2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4.2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4.2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4.2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4.2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4.2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4.2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4.2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4.2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4.2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4.2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4.2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4.2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4.2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4.2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4.2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4.2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4.2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4.2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4.2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4.2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4.2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4.2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4.2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4.2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4.2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4.2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4.2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4.2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4.2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4.2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4.2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4.2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4.2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4.2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4.2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4.2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4.2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4.2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4.2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4.2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4.2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4.2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4.2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4.2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4.2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4.2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4.2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4.2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4.2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4.2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4.2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4.2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4.2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4.2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4.2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4.2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4.2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4.2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4.2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4.2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4.2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4.2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4.2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4.2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4.2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4.2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4.2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4.2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4.2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4.2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4.2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4.2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4.2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4.2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4.2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4.2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4.2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4.2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4.2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4.2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4.2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4.2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4.2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4.2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4.2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4.2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4.2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4.2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4.2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4.2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4.2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4.2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4.2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4.2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4.2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4.2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4.2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4.2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4.2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4.2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4.2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4.2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4.2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4.2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4.2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4.2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4.2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4.2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4.2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4.2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4.2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4.2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4.2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4.2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4.2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4.2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4.2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4.2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4.2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4.2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4.2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4.2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4.2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4.2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4.2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4.2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4.2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4.2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4.2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4.2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4.2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4.2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4.2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4.2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4.2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4.2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4.2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4.2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4.2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4.2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4.2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4.2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4.2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4.2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4.2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4.2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4.2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4.2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4.2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4.2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4.2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4.2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4.2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4.2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4.2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4.2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4.2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4.2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4.2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4.2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4.2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4.2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4.2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4.2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4.2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4.2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4.2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4.2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4.2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4.2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4.2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4.2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4.2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4.2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4.2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4.2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4.2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4.2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4.2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4.2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4.2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4.2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4.2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4.2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4.2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4.2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4.2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4.2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4.2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4.2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4.2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4.2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4.2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4.2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4.2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4.2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4.2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4.2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4.2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4.2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4.2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4.2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4.2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4.2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4.2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4.2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4.2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4.2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4.2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4.2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4.2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4.2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4.2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4.2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4.2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4.2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4.2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4.2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4.2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4.2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4.2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4.2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4.2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4.2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4.2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4.2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4.2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4.2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4.2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4.2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4.2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4.2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4.2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4.2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4.2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4.2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4.2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4.2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4.2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4.2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4.2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4.2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4.2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4.2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4.2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4.2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4.2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4.2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4.2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4.2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4.2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4.2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4.2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4.2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4.2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4.2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4.2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4.2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4.2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4.2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4.2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4.2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4.2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4.2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4.2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4.2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4.2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4.2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4.2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4.2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4.2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4.2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4.2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4.2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4.2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4.2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4.2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4.2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4.2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4.2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4.2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4.2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4.2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4.2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4.2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4.2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4.2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4.2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4.2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4.2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4.2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4.2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4.2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4.2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4.2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4.2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4.2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4.2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4.2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4.2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4.2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4.2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4.2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4.2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4.2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4.2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4.2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4.2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4.2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4.2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4.2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4.2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4.2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4.2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4.2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4.2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4.2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4.2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4.2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4.2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4.2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4.2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4.2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4.2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4.2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4.2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4.2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4.2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4.2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4.2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4.2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4.2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4.2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4.2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4.2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4.2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4.2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4.2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4.2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4.2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4.2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4.2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4.2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4.2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4.2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4.2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4.2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4.2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4.2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4.2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4.2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4.2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4.2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4.2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4.2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4.2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4.2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4.2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4.2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4.2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4.2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4.2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4.2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4.2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4.2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4.2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4.2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4.2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4.2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4.2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4.2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4.2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4.2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4.2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4.2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4.2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4.2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4.2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4.2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4.2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4.2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4.2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4.2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4.2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4.2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4.2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4.2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4.2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4.2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4.2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4.2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4.2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4.2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4.2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4.2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4.2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4.2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4.2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4.2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4.2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4.2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4.2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4.2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4.2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4.2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4.2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4.2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4.2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4.2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4.2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4.2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4.2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4.2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4.2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4.2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4.2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4.2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4.2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4.2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4.2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4.2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4.2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4.2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4.2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4.2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4.2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4.2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4.2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4.2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4.2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4.2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4.2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4.2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4.2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4.2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4.2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4.2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4.2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4.2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4.2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4.2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4.2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4.2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4.2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4.2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4.2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4.2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4.2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4.2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4.2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4.2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4.2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4.2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4.2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4.2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4.2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4.2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4.2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4.2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4.2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4.2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4.2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4.2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4.2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4.2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4.2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4.2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4.2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4.2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4.2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4.2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4.2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4.2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4.2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4.2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4.2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4.2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4.2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4.2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4.2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4.2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4.2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4.2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4.2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4.2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4.2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4.2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4.2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4.2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4.2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4.2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4.2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4.2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4.2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4.2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4.2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4.2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4.2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4.2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4.2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4.2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4.2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4.2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4.2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4.2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4.2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4.2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4.2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4.2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4.2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4.2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4.2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4.2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4.2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4.2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4.2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4.2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4.2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4.2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4.2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4.2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4.2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4.2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4.2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4.2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4.2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4.2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4.2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4.2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4.2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4.2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4.2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4.2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4.2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4.2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4.2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4.2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4.2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4.2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4.2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4.2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4.2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4.2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4.2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4.2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4.2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4.2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4.2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4.2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4.2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4.2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4.2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4.2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4.2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4.2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4.2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4.2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4.2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4.2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4.2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4.2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4.2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4.2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4.2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4.2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4.2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4.2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4.2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4.2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4.2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4.2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4.2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4.2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4.2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4.2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4.2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4.2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4.2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4.2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4.2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4.2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4.2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4.2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4.2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4.2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4.2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4.2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4.2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4.2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4.2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4.2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4.2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4.2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4.2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4.2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4.2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4.2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4.2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4.2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4.2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4.2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4.2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4.2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4.2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4.2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4.2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4.2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4.2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4.2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4.2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4.2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4.2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4.2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4.2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4.2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4.2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4.2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4.2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4.2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4.2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4.2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4.2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4.2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4.2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4.2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4.2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4.2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4.2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4.2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4.2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4.2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4.2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4.2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4.2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4.2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4.2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4.2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4.2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4.2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4.2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4.2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4.2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4.2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4.2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4.2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4.2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4.2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4.2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4.2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4.2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4.2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4.2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4.2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4.2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4.2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4.2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4.2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4.2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4.2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4.2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4.2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4.2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4.2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4.2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4.2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4.2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4.2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4.2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4.2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4.2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4.2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4.2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4.2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4.2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4.2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4.2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4.2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4.2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4.2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4.2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4.2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4.2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4.2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4.2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4.2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4.2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4.2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4.2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4.2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4.2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4.2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4.2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4.2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4.2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4.2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4.2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4.2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4.2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4.2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4.2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4.2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4.2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4.2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4.2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4.2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4.2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4.2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4.2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4.2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4.2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4.2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4.2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4.2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4.2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4.2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4.2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4.2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4.2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4.2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4.2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4.2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4.2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4.2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4.2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4.2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4.2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4.2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4.2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4.2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4.2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4.2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4.2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4.2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4.2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4.2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4.2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4.2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4.2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4.2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4.2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4.2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4.2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4.2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4.2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4.2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4.2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4.2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4.2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4.2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4.2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4.2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4.2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4.2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4.2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4.2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4.2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4.2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4.2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4.2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4.2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4.2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4.2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4.2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4.2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landscape"/>
  <drawing r:id="rId1"/>
</worksheet>
</file>