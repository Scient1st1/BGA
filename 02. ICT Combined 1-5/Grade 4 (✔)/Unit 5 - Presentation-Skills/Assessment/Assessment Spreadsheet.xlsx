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<sst xmlns="http://schemas.openxmlformats.org/spreadsheetml/2006/main" count="138" uniqueCount="57">
  <si>
    <t>NC Aims Covered in the Presentation Skills Unit</t>
  </si>
  <si>
    <t>End of Unit Assessment | Computing | Year 3 | Presentation Skills</t>
  </si>
  <si>
    <t>Select, use and combine a variety of software (including internet services) on a range of digital devices to design and create a range of programs, systems and content that accomplish given goals, including collecting, analysing, evaluating and presenting data and information.</t>
  </si>
  <si>
    <t xml:space="preserve">All  </t>
  </si>
  <si>
    <t>Lesson Aim</t>
  </si>
  <si>
    <t xml:space="preserve">Most  </t>
  </si>
  <si>
    <t xml:space="preserve">Some  </t>
  </si>
  <si>
    <t>*Insert a character against the criteria the child has met. If they have not met the criteria leave it blank.*</t>
  </si>
  <si>
    <t>Success Criteria</t>
  </si>
  <si>
    <t>All children should be able to create a simple presentation and create shapes.</t>
  </si>
  <si>
    <t xml:space="preserve">Most children will be able to create a hyperlink to another slide, use slide transitions, insert audio and video files (where possible), record audio onto a slide, plan a branching story, create simple slide templates and copy and organise slides as required.
</t>
  </si>
  <si>
    <t>Some children will be able to use animations to introduce objects to a slide, find out which audio and video formats work in a particular presentation application, set when the audio or video plays and evaluate the layout of presentation slides effectively.</t>
  </si>
  <si>
    <t>Name</t>
  </si>
  <si>
    <t>% of class</t>
  </si>
  <si>
    <t>% met by child</t>
  </si>
  <si>
    <t>Has the child met the all and most statements?</t>
  </si>
  <si>
    <t>I can plan a branching story.</t>
  </si>
  <si>
    <t>All</t>
  </si>
  <si>
    <t>Create a simple presentation.</t>
  </si>
  <si>
    <t>I can create a story with different outcomes.</t>
  </si>
  <si>
    <t>I can organise the different outcomes into different branches.</t>
  </si>
  <si>
    <t>Create shapes.</t>
  </si>
  <si>
    <t>I can create slide templates and organise slides with hyperlinks.</t>
  </si>
  <si>
    <t>Most</t>
  </si>
  <si>
    <t>Create a hyperlink to another slide.</t>
  </si>
  <si>
    <t>I can create slide templates to match my story.</t>
  </si>
  <si>
    <t>Use slide transitions.</t>
  </si>
  <si>
    <t>I can copy the slide templates to create all the slides I need for my story.</t>
  </si>
  <si>
    <t>Insert audio and video files (where possible).</t>
  </si>
  <si>
    <t>I can create the hyperlinks required from slide to slide.</t>
  </si>
  <si>
    <t>Record audio onto a slide.</t>
  </si>
  <si>
    <t>Plan a branching story.</t>
  </si>
  <si>
    <t xml:space="preserve"> </t>
  </si>
  <si>
    <t>I can add theme, transitions and animation to a presentation.</t>
  </si>
  <si>
    <t>Create simple slide templates.</t>
  </si>
  <si>
    <t>I can set the presentation theme.</t>
  </si>
  <si>
    <t>I can use slide transitions.</t>
  </si>
  <si>
    <t>Copy and organise slides as required.</t>
  </si>
  <si>
    <t>I can use animations to introduce objects to a slide.</t>
  </si>
  <si>
    <t>Some</t>
  </si>
  <si>
    <t>Use animations to introduce objects to a slide.</t>
  </si>
  <si>
    <t>I can use hyperlinks.</t>
  </si>
  <si>
    <t>Find out which audio and video formats work in a particular presentation application.</t>
  </si>
  <si>
    <t>I can create shapes.</t>
  </si>
  <si>
    <t>Can set when the audio or video plays.</t>
  </si>
  <si>
    <t>I can create a hyperlink to another slide.</t>
  </si>
  <si>
    <t>Can evaluate the layout of presentation slides effectively.</t>
  </si>
  <si>
    <t>I can insert audio and video.</t>
  </si>
  <si>
    <t>I can insert audio and video files (where possible).</t>
  </si>
  <si>
    <t>I can record audio onto a slide.</t>
  </si>
  <si>
    <t>I can change the audio button.</t>
  </si>
  <si>
    <t>I can find out which audio and video file formats work in the presentation application I am using.</t>
  </si>
  <si>
    <t>I can set when the audio or video plays.</t>
  </si>
  <si>
    <t>I can evaluate slide layout and make improvements.</t>
  </si>
  <si>
    <t>I can complete slides so as to maintain the design and an effective layout.</t>
  </si>
  <si>
    <t>I can edit as required to maintain the design and an effective layout.</t>
  </si>
  <si>
    <t>I can evaluate how effectively my work meets the requirements.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</si>
</sst>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Arial"/>
    </font>
    <font/>
    <font>
      <sz val="11.0"/>
      <color rgb="FFDC205A"/>
      <name val="Arial"/>
    </font>
    <font>
      <b/>
      <sz val="14.0"/>
      <color theme="0"/>
      <name val="Arial"/>
    </font>
    <font>
      <i/>
      <sz val="11.0"/>
      <color theme="1"/>
      <name val="Arial"/>
    </font>
    <font>
      <sz val="10.0"/>
      <color rgb="FF3F3F3F"/>
      <name val="Arial"/>
    </font>
    <font>
      <sz val="11.0"/>
      <color rgb="FF3A3838"/>
      <name val="Arial"/>
    </font>
    <font>
      <b/>
      <sz val="11.0"/>
      <color theme="0"/>
      <name val="Arial"/>
    </font>
    <font>
      <sz val="11.0"/>
      <color rgb="FF3F3F3F"/>
      <name val="Arial"/>
    </font>
    <font>
      <sz val="9.0"/>
      <color theme="1"/>
      <name val="Arial"/>
    </font>
    <font>
      <sz val="9.0"/>
      <color rgb="FF3A3838"/>
      <name val="Arial"/>
    </font>
    <font>
      <sz val="10.0"/>
      <color theme="1"/>
      <name val="Arial"/>
    </font>
    <font>
      <sz val="10.0"/>
      <color rgb="FF3A3838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38AC2"/>
        <bgColor rgb="FF538AC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left" vertical="center"/>
    </xf>
    <xf borderId="1" fillId="0" fontId="3" numFmtId="0" xfId="0" applyBorder="1" applyFont="1"/>
    <xf borderId="1" fillId="0" fontId="1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vertical="center"/>
    </xf>
    <xf borderId="0" fillId="0" fontId="2" numFmtId="0" xfId="0" applyAlignment="1" applyFont="1">
      <alignment horizontal="left" shrinkToFit="0" vertical="top" wrapText="1"/>
    </xf>
    <xf borderId="0" fillId="0" fontId="6" numFmtId="0" xfId="0" applyAlignment="1" applyFont="1">
      <alignment horizontal="right" vertical="center"/>
    </xf>
    <xf borderId="4" fillId="3" fontId="6" numFmtId="0" xfId="0" applyAlignment="1" applyBorder="1" applyFill="1" applyFont="1">
      <alignment horizontal="center" vertical="center"/>
    </xf>
    <xf borderId="5" fillId="0" fontId="3" numFmtId="0" xfId="0" applyBorder="1" applyFont="1"/>
    <xf borderId="0" fillId="0" fontId="1" numFmtId="9" xfId="0" applyAlignment="1" applyFont="1" applyNumberFormat="1">
      <alignment horizontal="center" shrinkToFit="0" wrapText="1"/>
    </xf>
    <xf borderId="6" fillId="0" fontId="3" numFmtId="0" xfId="0" applyBorder="1" applyFont="1"/>
    <xf borderId="7" fillId="3" fontId="7" numFmtId="0" xfId="0" applyAlignment="1" applyBorder="1" applyFill="1" applyFont="1">
      <alignment horizontal="left" shrinkToFit="0" vertical="top" wrapText="1"/>
    </xf>
    <xf borderId="8" fillId="0" fontId="3" numFmtId="0" xfId="0" applyBorder="1" applyFont="1"/>
    <xf borderId="9" fillId="0" fontId="8" numFmtId="0" xfId="0" applyAlignment="1" applyBorder="1" applyFont="1">
      <alignment horizontal="center" textRotation="90"/>
    </xf>
    <xf borderId="10" fillId="0" fontId="8" numFmtId="0" xfId="0" applyAlignment="1" applyBorder="1" applyFont="1">
      <alignment horizontal="center" shrinkToFit="0" textRotation="90" wrapText="1"/>
    </xf>
    <xf borderId="11" fillId="0" fontId="3" numFmtId="0" xfId="0" applyBorder="1" applyFont="1"/>
    <xf borderId="8" fillId="0" fontId="2" numFmtId="0" xfId="0" applyAlignment="1" applyBorder="1" applyFont="1">
      <alignment horizontal="center" textRotation="90"/>
    </xf>
    <xf borderId="8" fillId="0" fontId="1" numFmtId="9" xfId="0" applyAlignment="1" applyBorder="1" applyFont="1" applyNumberFormat="1">
      <alignment horizontal="center" shrinkToFit="0" wrapText="1"/>
    </xf>
    <xf borderId="12" fillId="0" fontId="3" numFmtId="0" xfId="0" applyBorder="1" applyFont="1"/>
    <xf borderId="13" fillId="0" fontId="8" numFmtId="0" xfId="0" applyAlignment="1" applyBorder="1" applyFont="1">
      <alignment horizontal="center" shrinkToFit="0" textRotation="90" wrapText="1"/>
    </xf>
    <xf borderId="2" fillId="3" fontId="2" numFmtId="0" xfId="0" applyAlignment="1" applyBorder="1" applyFill="1" applyFont="1">
      <alignment horizontal="center" textRotation="90"/>
    </xf>
    <xf borderId="1" fillId="0" fontId="2" numFmtId="9" xfId="0" applyAlignment="1" applyBorder="1" applyFont="1" applyNumberFormat="1">
      <alignment horizontal="center" shrinkToFit="0" vertical="top" wrapText="1"/>
    </xf>
    <xf borderId="14" fillId="0" fontId="3" numFmtId="0" xfId="0" applyBorder="1" applyFont="1"/>
    <xf borderId="15" fillId="0" fontId="3" numFmtId="0" xfId="0" applyBorder="1" applyFont="1"/>
    <xf borderId="16" fillId="3" fontId="2" numFmtId="0" xfId="0" applyAlignment="1" applyBorder="1" applyFill="1" applyFont="1">
      <alignment horizontal="center" textRotation="90"/>
    </xf>
    <xf borderId="17" fillId="3" fontId="2" numFmtId="0" xfId="0" applyAlignment="1" applyBorder="1" applyFill="1" applyFont="1">
      <alignment horizontal="right" shrinkToFit="0" vertical="center" wrapText="1"/>
    </xf>
    <xf borderId="18" fillId="0" fontId="3" numFmtId="0" xfId="0" applyBorder="1" applyFont="1"/>
    <xf borderId="14" fillId="0" fontId="2" numFmtId="9" xfId="0" applyAlignment="1" applyBorder="1" applyFont="1" applyNumberFormat="1">
      <alignment horizontal="center" shrinkToFit="0" vertical="top" wrapText="1"/>
    </xf>
    <xf borderId="16" fillId="2" fontId="9" numFmtId="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top"/>
    </xf>
    <xf borderId="19" fillId="3" fontId="2" numFmtId="0" xfId="0" applyAlignment="1" applyBorder="1" applyFill="1" applyFont="1">
      <alignment horizontal="right" shrinkToFit="0" vertical="center" wrapText="1"/>
    </xf>
    <xf borderId="20" fillId="3" fontId="8" numFmtId="9" xfId="0" applyAlignment="1" applyBorder="1" applyFill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left" vertical="center"/>
    </xf>
    <xf borderId="21" fillId="3" fontId="8" numFmtId="9" xfId="0" applyAlignment="1" applyBorder="1" applyFill="1" applyFont="1" applyNumberFormat="1">
      <alignment horizontal="center" shrinkToFit="0" vertical="center" wrapText="1"/>
    </xf>
    <xf borderId="22" fillId="3" fontId="8" numFmtId="9" xfId="0" applyAlignment="1" applyBorder="1" applyFill="1" applyFont="1" applyNumberFormat="1">
      <alignment horizontal="center" shrinkToFit="0" vertical="center" wrapText="1"/>
    </xf>
    <xf borderId="23" fillId="3" fontId="2" numFmtId="0" xfId="0" applyAlignment="1" applyBorder="1" applyFill="1" applyFont="1">
      <alignment horizontal="center" textRotation="90"/>
    </xf>
    <xf borderId="0" fillId="0" fontId="2" numFmtId="0" xfId="0" applyAlignment="1" applyFont="1">
      <alignment horizontal="center"/>
    </xf>
    <xf borderId="24" fillId="3" fontId="11" numFmtId="0" xfId="0" applyAlignment="1" applyBorder="1" applyFill="1" applyFont="1">
      <alignment horizontal="right" shrinkToFit="0" vertical="center" wrapText="1"/>
    </xf>
    <xf borderId="25" fillId="0" fontId="3" numFmtId="0" xfId="0" applyBorder="1" applyFont="1"/>
    <xf borderId="26" fillId="3" fontId="8" numFmtId="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7" fillId="3" fontId="12" numFmtId="9" xfId="0" applyAlignment="1" applyBorder="1" applyFill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left" shrinkToFit="0" vertical="top" wrapText="1"/>
    </xf>
    <xf borderId="28" fillId="2" fontId="13" numFmtId="0" xfId="0" applyAlignment="1" applyBorder="1" applyFill="1" applyFont="1">
      <alignment horizontal="left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32" fillId="3" fontId="2" numFmtId="9" xfId="0" applyAlignment="1" applyBorder="1" applyFill="1" applyFont="1" applyNumberFormat="1">
      <alignment horizontal="right" vertical="center"/>
    </xf>
    <xf borderId="0" fillId="0" fontId="11" numFmtId="0" xfId="0" applyAlignment="1" applyFont="1">
      <alignment horizontal="center"/>
    </xf>
    <xf borderId="33" fillId="2" fontId="1" numFmtId="0" xfId="0" applyAlignment="1" applyBorder="1" applyFill="1" applyFont="1">
      <alignment horizontal="center" textRotation="90" vertical="center"/>
    </xf>
    <xf borderId="34" fillId="3" fontId="2" numFmtId="9" xfId="0" applyAlignment="1" applyBorder="1" applyFill="1" applyFont="1" applyNumberFormat="1">
      <alignment vertical="center"/>
    </xf>
    <xf borderId="34" fillId="3" fontId="14" numFmtId="0" xfId="0" applyAlignment="1" applyBorder="1" applyFill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top" wrapText="1"/>
    </xf>
    <xf borderId="35" fillId="0" fontId="2" numFmtId="0" xfId="0" applyAlignment="1" applyBorder="1" applyFont="1">
      <alignment horizontal="center" shrinkToFit="0" vertical="center" wrapText="1"/>
    </xf>
    <xf borderId="36" fillId="3" fontId="15" numFmtId="0" xfId="0" applyAlignment="1" applyBorder="1" applyFill="1" applyFont="1">
      <alignment horizontal="left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1" fillId="3" fontId="2" numFmtId="9" xfId="0" applyAlignment="1" applyBorder="1" applyFill="1" applyFont="1" applyNumberFormat="1">
      <alignment vertical="center"/>
    </xf>
    <xf borderId="42" fillId="0" fontId="1" numFmtId="0" xfId="0" applyAlignment="1" applyBorder="1" applyFont="1">
      <alignment horizontal="left" shrinkToFit="0" vertical="top" wrapText="1"/>
    </xf>
    <xf borderId="43" fillId="3" fontId="15" numFmtId="0" xfId="0" applyAlignment="1" applyBorder="1" applyFill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6" fillId="0" fontId="2" numFmtId="0" xfId="0" applyAlignment="1" applyBorder="1" applyFont="1">
      <alignment horizontal="center" shrinkToFit="0" vertical="center" wrapText="1"/>
    </xf>
    <xf borderId="32" fillId="3" fontId="14" numFmtId="0" xfId="0" applyAlignment="1" applyBorder="1" applyFill="1" applyFont="1">
      <alignment horizontal="left" shrinkToFit="0" vertical="center" wrapText="1"/>
    </xf>
    <xf borderId="45" fillId="0" fontId="10" numFmtId="0" xfId="0" applyAlignment="1" applyBorder="1" applyFont="1">
      <alignment horizontal="left" vertical="center"/>
    </xf>
    <xf borderId="47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32" fillId="3" fontId="2" numFmtId="9" xfId="0" applyAlignment="1" applyBorder="1" applyFill="1" applyFont="1" applyNumberFormat="1">
      <alignment vertical="center"/>
    </xf>
    <xf borderId="0" fillId="0" fontId="16" numFmtId="0" xfId="0" applyAlignment="1" applyFont="1">
      <alignment horizontal="left" vertical="top"/>
    </xf>
    <xf borderId="23" fillId="3" fontId="14" numFmtId="0" xfId="0" applyAlignment="1" applyBorder="1" applyFill="1" applyFont="1">
      <alignment horizontal="left" shrinkToFit="0" vertical="center" wrapText="1"/>
    </xf>
    <xf borderId="49" fillId="0" fontId="2" numFmtId="0" xfId="0" applyAlignment="1" applyBorder="1" applyFont="1">
      <alignment horizontal="center" shrinkToFit="0" vertical="center" wrapText="1"/>
    </xf>
    <xf borderId="50" fillId="0" fontId="2" numFmtId="0" xfId="0" applyAlignment="1" applyBorder="1" applyFont="1">
      <alignment horizontal="center" shrinkToFit="0" vertical="center" wrapText="1"/>
    </xf>
    <xf borderId="23" fillId="3" fontId="2" numFmtId="9" xfId="0" applyAlignment="1" applyBorder="1" applyFill="1" applyFont="1" applyNumberFormat="1">
      <alignment vertical="center"/>
    </xf>
    <xf borderId="0" fillId="0" fontId="11" numFmtId="0" xfId="0" applyAlignment="1" applyFont="1">
      <alignment vertical="center"/>
    </xf>
    <xf borderId="41" fillId="3" fontId="14" numFmtId="0" xfId="0" applyAlignment="1" applyBorder="1" applyFill="1" applyFont="1">
      <alignment horizontal="left" shrinkToFit="0" vertical="center" wrapText="1"/>
    </xf>
    <xf borderId="51" fillId="0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52" fillId="2" fontId="1" numFmtId="0" xfId="0" applyAlignment="1" applyBorder="1" applyFill="1" applyFont="1">
      <alignment horizontal="center" textRotation="90" vertical="center"/>
    </xf>
    <xf borderId="28" fillId="3" fontId="14" numFmtId="0" xfId="0" applyAlignment="1" applyBorder="1" applyFill="1" applyFont="1">
      <alignment horizontal="left" shrinkToFit="0" vertical="center" wrapText="1"/>
    </xf>
    <xf borderId="53" fillId="0" fontId="3" numFmtId="0" xfId="0" applyBorder="1" applyFont="1"/>
    <xf borderId="54" fillId="3" fontId="14" numFmtId="0" xfId="0" applyAlignment="1" applyBorder="1" applyFill="1" applyFont="1">
      <alignment horizontal="left" shrinkToFit="0" vertical="center" wrapText="1"/>
    </xf>
    <xf borderId="55" fillId="3" fontId="15" numFmtId="0" xfId="0" applyAlignment="1" applyBorder="1" applyFill="1" applyFont="1">
      <alignment horizontal="left" shrinkToFit="0" vertical="center" wrapText="1"/>
    </xf>
    <xf borderId="56" fillId="0" fontId="2" numFmtId="0" xfId="0" applyAlignment="1" applyBorder="1" applyFont="1">
      <alignment horizontal="center" shrinkToFit="0" vertical="center" wrapText="1"/>
    </xf>
    <xf borderId="36" fillId="3" fontId="14" numFmtId="0" xfId="0" applyAlignment="1" applyBorder="1" applyFill="1" applyFont="1">
      <alignment horizontal="left" shrinkToFit="0" vertical="center" wrapText="1"/>
    </xf>
    <xf borderId="57" fillId="0" fontId="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59" fillId="0" fontId="3" numFmtId="0" xfId="0" applyBorder="1" applyFont="1"/>
    <xf borderId="43" fillId="3" fontId="14" numFmtId="0" xfId="0" applyAlignment="1" applyBorder="1" applyFill="1" applyFont="1">
      <alignment horizontal="left" shrinkToFit="0" vertical="center" wrapText="1"/>
    </xf>
    <xf borderId="42" fillId="0" fontId="1" numFmtId="0" xfId="0" applyAlignment="1" applyBorder="1" applyFont="1">
      <alignment horizontal="center" vertical="center"/>
    </xf>
    <xf borderId="44" fillId="0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/>
    </xf>
    <xf borderId="48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7" width="9.14"/>
    <col customWidth="1" min="8" max="26" width="8.71"/>
  </cols>
  <sheetData>
    <row r="1" ht="30.0" customHeight="1">
      <c r="A1" s="3" t="s">
        <v>1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8" t="s">
        <v>3</v>
      </c>
      <c r="B2" s="8" t="s">
        <v>5</v>
      </c>
      <c r="C2" s="8" t="s">
        <v>6</v>
      </c>
      <c r="D2" s="2"/>
      <c r="E2" s="10"/>
      <c r="F2" s="10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4.25" customHeight="1">
      <c r="A3" s="16" t="s">
        <v>9</v>
      </c>
      <c r="B3" s="16" t="s">
        <v>10</v>
      </c>
      <c r="C3" s="16" t="s">
        <v>11</v>
      </c>
      <c r="D3" s="2"/>
      <c r="E3" s="10"/>
      <c r="F3" s="10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0"/>
      <c r="B4" s="20"/>
      <c r="C4" s="20"/>
      <c r="D4" s="2"/>
      <c r="E4" s="10"/>
      <c r="F4" s="10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0"/>
      <c r="B5" s="20"/>
      <c r="C5" s="20"/>
      <c r="D5" s="2"/>
      <c r="E5" s="10"/>
      <c r="F5" s="10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3"/>
      <c r="B6" s="23"/>
      <c r="C6" s="23"/>
      <c r="D6" s="2"/>
      <c r="E6" s="10"/>
      <c r="F6" s="10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3">
        <f t="shared" ref="A7:C7" si="1">(COUNTIF(A8:A38, "*"))/(COUNTIF($A$8:$C$38, "*"))</f>
        <v>0.3333333333</v>
      </c>
      <c r="B7" s="33">
        <f t="shared" si="1"/>
        <v>0.3333333333</v>
      </c>
      <c r="C7" s="33">
        <f t="shared" si="1"/>
        <v>0.3333333333</v>
      </c>
      <c r="D7" s="2"/>
      <c r="E7" s="10"/>
      <c r="F7" s="10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7" t="s">
        <v>12</v>
      </c>
      <c r="B8" s="37" t="s">
        <v>12</v>
      </c>
      <c r="C8" s="37" t="s">
        <v>12</v>
      </c>
      <c r="D8" s="2"/>
      <c r="E8" s="10"/>
      <c r="F8" s="10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7" t="s">
        <v>12</v>
      </c>
      <c r="B9" s="37" t="s">
        <v>12</v>
      </c>
      <c r="C9" s="37" t="s">
        <v>12</v>
      </c>
      <c r="D9" s="2"/>
      <c r="E9" s="10"/>
      <c r="F9" s="10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7" t="s">
        <v>12</v>
      </c>
      <c r="B10" s="37" t="s">
        <v>12</v>
      </c>
      <c r="C10" s="37" t="s">
        <v>12</v>
      </c>
      <c r="D10" s="2"/>
      <c r="E10" s="10"/>
      <c r="F10" s="10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37" t="s">
        <v>12</v>
      </c>
      <c r="B11" s="37" t="s">
        <v>12</v>
      </c>
      <c r="C11" s="37" t="s">
        <v>12</v>
      </c>
      <c r="D11" s="2"/>
      <c r="E11" s="10"/>
      <c r="F11" s="10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37"/>
      <c r="B12" s="37"/>
      <c r="C12" s="37"/>
      <c r="D12" s="2"/>
      <c r="E12" s="10"/>
      <c r="F12" s="10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37"/>
      <c r="B13" s="37"/>
      <c r="C13" s="37"/>
      <c r="D13" s="2"/>
      <c r="E13" s="10"/>
      <c r="F13" s="1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37"/>
      <c r="B14" s="37"/>
      <c r="C14" s="37"/>
      <c r="D14" s="2"/>
      <c r="E14" s="10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37"/>
      <c r="B15" s="37"/>
      <c r="C15" s="37"/>
      <c r="D15" s="2"/>
      <c r="E15" s="10"/>
      <c r="F15" s="10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37"/>
      <c r="B16" s="37"/>
      <c r="C16" s="37"/>
      <c r="D16" s="2"/>
      <c r="E16" s="10"/>
      <c r="F16" s="10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37"/>
      <c r="B17" s="37"/>
      <c r="C17" s="3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37"/>
      <c r="B18" s="37"/>
      <c r="C18" s="37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37"/>
      <c r="B19" s="37"/>
      <c r="C19" s="3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37"/>
      <c r="B20" s="37"/>
      <c r="C20" s="3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37"/>
      <c r="B21" s="37"/>
      <c r="C21" s="3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37"/>
      <c r="B22" s="37"/>
      <c r="C22" s="3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37"/>
      <c r="B23" s="37"/>
      <c r="C23" s="3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37"/>
      <c r="B24" s="37"/>
      <c r="C24" s="3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37"/>
      <c r="B25" s="37"/>
      <c r="C25" s="3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37"/>
      <c r="B26" s="37"/>
      <c r="C26" s="3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37"/>
      <c r="B27" s="37"/>
      <c r="C27" s="3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37"/>
      <c r="B28" s="37"/>
      <c r="C28" s="3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7"/>
      <c r="B29" s="37"/>
      <c r="C29" s="37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37"/>
      <c r="B30" s="37"/>
      <c r="C30" s="3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37"/>
      <c r="B31" s="37"/>
      <c r="C31" s="3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37"/>
      <c r="B32" s="37"/>
      <c r="C32" s="3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37"/>
      <c r="B33" s="37"/>
      <c r="C33" s="3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37"/>
      <c r="B34" s="37"/>
      <c r="C34" s="3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37"/>
      <c r="B35" s="37"/>
      <c r="C35" s="3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37"/>
      <c r="B36" s="37"/>
      <c r="C36" s="3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37"/>
      <c r="B37" s="37"/>
      <c r="C37" s="3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71"/>
      <c r="B38" s="71"/>
      <c r="C38" s="7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C1"/>
    <mergeCell ref="A3:A6"/>
    <mergeCell ref="B3:B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5" t="str">
        <f>'Assessment 1'!A1</f>
        <v>End of Unit Assessment | Computing | Year 3 | Presentation Skills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1" t="s">
        <v>7</v>
      </c>
      <c r="AK1" s="2"/>
      <c r="AL1" s="2"/>
    </row>
    <row r="2" ht="114.0" customHeight="1">
      <c r="A2" s="14"/>
      <c r="B2" s="17"/>
      <c r="C2" s="18" t="s">
        <v>12</v>
      </c>
      <c r="D2" s="19" t="s">
        <v>12</v>
      </c>
      <c r="E2" s="19" t="s">
        <v>12</v>
      </c>
      <c r="F2" s="19" t="s">
        <v>12</v>
      </c>
      <c r="G2" s="19" t="s">
        <v>12</v>
      </c>
      <c r="H2" s="19" t="s">
        <v>12</v>
      </c>
      <c r="I2" s="19" t="s">
        <v>12</v>
      </c>
      <c r="J2" s="19" t="s">
        <v>12</v>
      </c>
      <c r="K2" s="19" t="s">
        <v>12</v>
      </c>
      <c r="L2" s="19" t="s">
        <v>12</v>
      </c>
      <c r="M2" s="19" t="s">
        <v>12</v>
      </c>
      <c r="N2" s="19" t="s">
        <v>12</v>
      </c>
      <c r="O2" s="19" t="s">
        <v>12</v>
      </c>
      <c r="P2" s="19" t="s">
        <v>12</v>
      </c>
      <c r="Q2" s="19" t="s">
        <v>12</v>
      </c>
      <c r="R2" s="19" t="s">
        <v>12</v>
      </c>
      <c r="S2" s="19" t="s">
        <v>12</v>
      </c>
      <c r="T2" s="19" t="s">
        <v>12</v>
      </c>
      <c r="U2" s="19" t="s">
        <v>12</v>
      </c>
      <c r="V2" s="19" t="s">
        <v>12</v>
      </c>
      <c r="W2" s="19" t="s">
        <v>12</v>
      </c>
      <c r="X2" s="19" t="s">
        <v>12</v>
      </c>
      <c r="Y2" s="19" t="s">
        <v>12</v>
      </c>
      <c r="Z2" s="19" t="s">
        <v>12</v>
      </c>
      <c r="AA2" s="19" t="s">
        <v>12</v>
      </c>
      <c r="AB2" s="19" t="s">
        <v>12</v>
      </c>
      <c r="AC2" s="19" t="s">
        <v>12</v>
      </c>
      <c r="AD2" s="19" t="s">
        <v>12</v>
      </c>
      <c r="AE2" s="19" t="s">
        <v>12</v>
      </c>
      <c r="AF2" s="19" t="s">
        <v>12</v>
      </c>
      <c r="AG2" s="19" t="s">
        <v>12</v>
      </c>
      <c r="AH2" s="19" t="s">
        <v>12</v>
      </c>
      <c r="AI2" s="19" t="s">
        <v>12</v>
      </c>
      <c r="AJ2" s="24" t="s">
        <v>12</v>
      </c>
      <c r="AK2" s="25"/>
      <c r="AL2" s="2"/>
    </row>
    <row r="3" ht="56.25" customHeight="1">
      <c r="A3" s="26"/>
      <c r="B3" s="27"/>
      <c r="C3" s="28"/>
      <c r="AJ3" s="17"/>
      <c r="AK3" s="29" t="s">
        <v>13</v>
      </c>
      <c r="AL3" s="2"/>
    </row>
    <row r="4" ht="21.0" customHeight="1">
      <c r="A4" s="30" t="s">
        <v>14</v>
      </c>
      <c r="B4" s="31"/>
      <c r="C4" s="36">
        <f t="shared" ref="C4:AJ4" si="1">COUNTIF(C6:C28,"*")/COUNTIF($B$6:$B$28,"*")</f>
        <v>0</v>
      </c>
      <c r="D4" s="36">
        <f t="shared" si="1"/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36">
        <f t="shared" si="1"/>
        <v>0</v>
      </c>
      <c r="J4" s="36">
        <f t="shared" si="1"/>
        <v>0</v>
      </c>
      <c r="K4" s="36">
        <f t="shared" si="1"/>
        <v>0</v>
      </c>
      <c r="L4" s="36">
        <f t="shared" si="1"/>
        <v>0</v>
      </c>
      <c r="M4" s="36">
        <f t="shared" si="1"/>
        <v>0</v>
      </c>
      <c r="N4" s="36">
        <f t="shared" si="1"/>
        <v>0</v>
      </c>
      <c r="O4" s="36">
        <f t="shared" si="1"/>
        <v>0</v>
      </c>
      <c r="P4" s="36">
        <f t="shared" si="1"/>
        <v>0</v>
      </c>
      <c r="Q4" s="36">
        <f t="shared" si="1"/>
        <v>0</v>
      </c>
      <c r="R4" s="36">
        <f t="shared" si="1"/>
        <v>0</v>
      </c>
      <c r="S4" s="36">
        <f t="shared" si="1"/>
        <v>0</v>
      </c>
      <c r="T4" s="36">
        <f t="shared" si="1"/>
        <v>0</v>
      </c>
      <c r="U4" s="36">
        <f t="shared" si="1"/>
        <v>0</v>
      </c>
      <c r="V4" s="36">
        <f t="shared" si="1"/>
        <v>0</v>
      </c>
      <c r="W4" s="36">
        <f t="shared" si="1"/>
        <v>0</v>
      </c>
      <c r="X4" s="36">
        <f t="shared" si="1"/>
        <v>0</v>
      </c>
      <c r="Y4" s="36">
        <f t="shared" si="1"/>
        <v>0</v>
      </c>
      <c r="Z4" s="36">
        <f t="shared" si="1"/>
        <v>0</v>
      </c>
      <c r="AA4" s="36">
        <f t="shared" si="1"/>
        <v>0</v>
      </c>
      <c r="AB4" s="36">
        <f t="shared" si="1"/>
        <v>0</v>
      </c>
      <c r="AC4" s="36">
        <f t="shared" si="1"/>
        <v>0</v>
      </c>
      <c r="AD4" s="36">
        <f t="shared" si="1"/>
        <v>0</v>
      </c>
      <c r="AE4" s="36">
        <f t="shared" si="1"/>
        <v>0</v>
      </c>
      <c r="AF4" s="36">
        <f t="shared" si="1"/>
        <v>0</v>
      </c>
      <c r="AG4" s="36">
        <f t="shared" si="1"/>
        <v>0</v>
      </c>
      <c r="AH4" s="36">
        <f t="shared" si="1"/>
        <v>0</v>
      </c>
      <c r="AI4" s="36">
        <f t="shared" si="1"/>
        <v>0</v>
      </c>
      <c r="AJ4" s="39">
        <f t="shared" si="1"/>
        <v>0</v>
      </c>
      <c r="AK4" s="40"/>
      <c r="AL4" s="41"/>
    </row>
    <row r="5" ht="30.75" customHeight="1">
      <c r="A5" s="42" t="s">
        <v>15</v>
      </c>
      <c r="B5" s="43"/>
      <c r="C5" s="46" t="str">
        <f t="shared" ref="C5:AJ5" si="2">IF(COUNTIF(C6:C14, "*")=9, "y", "n")</f>
        <v>n</v>
      </c>
      <c r="D5" s="46" t="str">
        <f t="shared" si="2"/>
        <v>n</v>
      </c>
      <c r="E5" s="46" t="str">
        <f t="shared" si="2"/>
        <v>n</v>
      </c>
      <c r="F5" s="46" t="str">
        <f t="shared" si="2"/>
        <v>n</v>
      </c>
      <c r="G5" s="46" t="str">
        <f t="shared" si="2"/>
        <v>n</v>
      </c>
      <c r="H5" s="46" t="str">
        <f t="shared" si="2"/>
        <v>n</v>
      </c>
      <c r="I5" s="46" t="str">
        <f t="shared" si="2"/>
        <v>n</v>
      </c>
      <c r="J5" s="46" t="str">
        <f t="shared" si="2"/>
        <v>n</v>
      </c>
      <c r="K5" s="46" t="str">
        <f t="shared" si="2"/>
        <v>n</v>
      </c>
      <c r="L5" s="46" t="str">
        <f t="shared" si="2"/>
        <v>n</v>
      </c>
      <c r="M5" s="46" t="str">
        <f t="shared" si="2"/>
        <v>n</v>
      </c>
      <c r="N5" s="46" t="str">
        <f t="shared" si="2"/>
        <v>n</v>
      </c>
      <c r="O5" s="46" t="str">
        <f t="shared" si="2"/>
        <v>n</v>
      </c>
      <c r="P5" s="46" t="str">
        <f t="shared" si="2"/>
        <v>n</v>
      </c>
      <c r="Q5" s="46" t="str">
        <f t="shared" si="2"/>
        <v>n</v>
      </c>
      <c r="R5" s="46" t="str">
        <f t="shared" si="2"/>
        <v>n</v>
      </c>
      <c r="S5" s="46" t="str">
        <f t="shared" si="2"/>
        <v>n</v>
      </c>
      <c r="T5" s="46" t="str">
        <f t="shared" si="2"/>
        <v>n</v>
      </c>
      <c r="U5" s="46" t="str">
        <f t="shared" si="2"/>
        <v>n</v>
      </c>
      <c r="V5" s="46" t="str">
        <f t="shared" si="2"/>
        <v>n</v>
      </c>
      <c r="W5" s="46" t="str">
        <f t="shared" si="2"/>
        <v>n</v>
      </c>
      <c r="X5" s="46" t="str">
        <f t="shared" si="2"/>
        <v>n</v>
      </c>
      <c r="Y5" s="46" t="str">
        <f t="shared" si="2"/>
        <v>n</v>
      </c>
      <c r="Z5" s="46" t="str">
        <f t="shared" si="2"/>
        <v>n</v>
      </c>
      <c r="AA5" s="46" t="str">
        <f t="shared" si="2"/>
        <v>n</v>
      </c>
      <c r="AB5" s="46" t="str">
        <f t="shared" si="2"/>
        <v>n</v>
      </c>
      <c r="AC5" s="46" t="str">
        <f t="shared" si="2"/>
        <v>n</v>
      </c>
      <c r="AD5" s="46" t="str">
        <f t="shared" si="2"/>
        <v>n</v>
      </c>
      <c r="AE5" s="46" t="str">
        <f t="shared" si="2"/>
        <v>n</v>
      </c>
      <c r="AF5" s="46" t="str">
        <f t="shared" si="2"/>
        <v>n</v>
      </c>
      <c r="AG5" s="46" t="str">
        <f t="shared" si="2"/>
        <v>n</v>
      </c>
      <c r="AH5" s="46" t="str">
        <f t="shared" si="2"/>
        <v>n</v>
      </c>
      <c r="AI5" s="46" t="str">
        <f t="shared" si="2"/>
        <v>n</v>
      </c>
      <c r="AJ5" s="46" t="str">
        <f t="shared" si="2"/>
        <v>n</v>
      </c>
      <c r="AK5" s="52">
        <f>COUNTIF(C5:AJ5, "y")/COUNTIF(C2:AJ2,"*")</f>
        <v>0</v>
      </c>
      <c r="AL5" s="53"/>
    </row>
    <row r="6" ht="37.5" customHeight="1">
      <c r="A6" s="54" t="s">
        <v>17</v>
      </c>
      <c r="B6" s="56" t="s">
        <v>18</v>
      </c>
      <c r="C6" s="58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55">
        <f t="shared" ref="AK6:AK8" si="3">COUNTIF(C6:AJ6,"*")/COUNTIF($C$2:$AJ$3,"*")</f>
        <v>0</v>
      </c>
      <c r="AL6" s="2"/>
    </row>
    <row r="7" ht="37.5" customHeight="1">
      <c r="A7" s="68"/>
      <c r="B7" s="70" t="s">
        <v>21</v>
      </c>
      <c r="C7" s="72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73"/>
      <c r="AK7" s="74">
        <f t="shared" si="3"/>
        <v>0</v>
      </c>
      <c r="AL7" s="2"/>
    </row>
    <row r="8" ht="37.5" customHeight="1">
      <c r="A8" s="54" t="s">
        <v>23</v>
      </c>
      <c r="B8" s="56" t="s">
        <v>24</v>
      </c>
      <c r="C8" s="58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1"/>
      <c r="AK8" s="55">
        <f t="shared" si="3"/>
        <v>0</v>
      </c>
      <c r="AL8" s="2"/>
    </row>
    <row r="9" ht="37.5" customHeight="1">
      <c r="A9" s="20"/>
      <c r="B9" s="76" t="s">
        <v>26</v>
      </c>
      <c r="C9" s="77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78"/>
      <c r="AK9" s="79"/>
      <c r="AL9" s="2"/>
    </row>
    <row r="10" ht="37.5" customHeight="1">
      <c r="A10" s="20"/>
      <c r="B10" s="76" t="s">
        <v>28</v>
      </c>
      <c r="C10" s="77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78"/>
      <c r="AK10" s="79"/>
      <c r="AL10" s="2"/>
    </row>
    <row r="11" ht="37.5" customHeight="1">
      <c r="A11" s="20"/>
      <c r="B11" s="76" t="s">
        <v>30</v>
      </c>
      <c r="C11" s="77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78"/>
      <c r="AK11" s="79"/>
      <c r="AL11" s="2"/>
    </row>
    <row r="12" ht="37.5" customHeight="1">
      <c r="A12" s="20"/>
      <c r="B12" s="76" t="s">
        <v>31</v>
      </c>
      <c r="C12" s="77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78"/>
      <c r="AK12" s="79"/>
      <c r="AL12" s="2"/>
    </row>
    <row r="13" ht="37.5" customHeight="1">
      <c r="A13" s="20"/>
      <c r="B13" s="81" t="s">
        <v>34</v>
      </c>
      <c r="C13" s="8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3"/>
      <c r="AK13" s="64">
        <f t="shared" ref="AK13:AK15" si="4">COUNTIF(C13:AJ13,"*")/COUNTIF($C$2:$AJ$3,"*")</f>
        <v>0</v>
      </c>
      <c r="AL13" s="83"/>
    </row>
    <row r="14" ht="37.5" customHeight="1">
      <c r="A14" s="68"/>
      <c r="B14" s="70" t="s">
        <v>37</v>
      </c>
      <c r="C14" s="72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73"/>
      <c r="AK14" s="74">
        <f t="shared" si="4"/>
        <v>0</v>
      </c>
      <c r="AL14" s="84"/>
    </row>
    <row r="15" ht="37.5" customHeight="1">
      <c r="A15" s="85" t="s">
        <v>39</v>
      </c>
      <c r="B15" s="86" t="s">
        <v>40</v>
      </c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1"/>
      <c r="AK15" s="55">
        <f t="shared" si="4"/>
        <v>0</v>
      </c>
      <c r="AL15" s="84"/>
    </row>
    <row r="16" ht="37.5" customHeight="1">
      <c r="A16" s="87"/>
      <c r="B16" s="88" t="s">
        <v>42</v>
      </c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78"/>
      <c r="AK16" s="79"/>
      <c r="AL16" s="84"/>
    </row>
    <row r="17" ht="37.5" customHeight="1">
      <c r="A17" s="87"/>
      <c r="B17" s="91" t="s">
        <v>44</v>
      </c>
      <c r="C17" s="9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3"/>
      <c r="AK17" s="64">
        <f t="shared" ref="AK17:AK18" si="5">COUNTIF(C17:AJ17,"*")/COUNTIF($C$2:$AJ$3,"*")</f>
        <v>0</v>
      </c>
      <c r="AL17" s="84"/>
    </row>
    <row r="18" ht="37.5" customHeight="1">
      <c r="A18" s="94"/>
      <c r="B18" s="95" t="s">
        <v>46</v>
      </c>
      <c r="C18" s="67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73"/>
      <c r="AK18" s="74">
        <f t="shared" si="5"/>
        <v>0</v>
      </c>
      <c r="AL18" s="84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84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84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84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42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7"/>
    <mergeCell ref="A8:A14"/>
    <mergeCell ref="A15:A18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1" t="str">
        <f>'Assessment 1'!A1</f>
        <v>End of Unit Assessment | Computing | Year 3 | Presentation Skills</v>
      </c>
      <c r="AK1" s="2"/>
      <c r="AL1" s="2"/>
    </row>
    <row r="2" ht="21.0" customHeight="1">
      <c r="A2" s="7"/>
      <c r="B2" s="9" t="s">
        <v>4</v>
      </c>
      <c r="C2" s="12" t="s">
        <v>8</v>
      </c>
      <c r="D2" s="13"/>
      <c r="E2" s="13"/>
      <c r="F2" s="13"/>
      <c r="G2" s="1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1" t="s">
        <v>7</v>
      </c>
      <c r="AK2" s="2"/>
      <c r="AL2" s="2"/>
    </row>
    <row r="3" ht="114.0" customHeight="1">
      <c r="A3" s="21"/>
      <c r="B3" s="22"/>
      <c r="C3" s="18" t="s">
        <v>12</v>
      </c>
      <c r="D3" s="19" t="s">
        <v>12</v>
      </c>
      <c r="E3" s="19" t="s">
        <v>12</v>
      </c>
      <c r="F3" s="19" t="s">
        <v>12</v>
      </c>
      <c r="G3" s="19" t="s">
        <v>12</v>
      </c>
      <c r="H3" s="19" t="s">
        <v>12</v>
      </c>
      <c r="I3" s="19" t="s">
        <v>12</v>
      </c>
      <c r="J3" s="19" t="s">
        <v>12</v>
      </c>
      <c r="K3" s="19" t="s">
        <v>12</v>
      </c>
      <c r="L3" s="19" t="s">
        <v>12</v>
      </c>
      <c r="M3" s="19" t="s">
        <v>12</v>
      </c>
      <c r="N3" s="19" t="s">
        <v>12</v>
      </c>
      <c r="O3" s="19" t="s">
        <v>12</v>
      </c>
      <c r="P3" s="19" t="s">
        <v>12</v>
      </c>
      <c r="Q3" s="19" t="s">
        <v>12</v>
      </c>
      <c r="R3" s="19" t="s">
        <v>12</v>
      </c>
      <c r="S3" s="19" t="s">
        <v>12</v>
      </c>
      <c r="T3" s="19" t="s">
        <v>12</v>
      </c>
      <c r="U3" s="19" t="s">
        <v>12</v>
      </c>
      <c r="V3" s="19" t="s">
        <v>12</v>
      </c>
      <c r="W3" s="19" t="s">
        <v>12</v>
      </c>
      <c r="X3" s="19" t="s">
        <v>12</v>
      </c>
      <c r="Y3" s="19" t="s">
        <v>12</v>
      </c>
      <c r="Z3" s="19" t="s">
        <v>12</v>
      </c>
      <c r="AA3" s="19" t="s">
        <v>12</v>
      </c>
      <c r="AB3" s="19" t="s">
        <v>12</v>
      </c>
      <c r="AC3" s="19" t="s">
        <v>12</v>
      </c>
      <c r="AD3" s="19" t="s">
        <v>12</v>
      </c>
      <c r="AE3" s="19" t="s">
        <v>12</v>
      </c>
      <c r="AF3" s="19" t="s">
        <v>12</v>
      </c>
      <c r="AG3" s="19" t="s">
        <v>12</v>
      </c>
      <c r="AH3" s="19" t="s">
        <v>12</v>
      </c>
      <c r="AI3" s="19" t="s">
        <v>12</v>
      </c>
      <c r="AJ3" s="24" t="s">
        <v>12</v>
      </c>
      <c r="AK3" s="2"/>
      <c r="AL3" s="2"/>
    </row>
    <row r="4" ht="56.25" customHeight="1">
      <c r="A4" s="17"/>
      <c r="B4" s="32"/>
      <c r="C4" s="2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27"/>
      <c r="AK4" s="2"/>
      <c r="AL4" s="34"/>
    </row>
    <row r="5" ht="21.0" customHeight="1">
      <c r="A5" s="17"/>
      <c r="B5" s="35" t="s">
        <v>14</v>
      </c>
      <c r="C5" s="38">
        <f t="shared" ref="C5:AJ5" si="1">COUNTIF(C6:C30,"*")/COUNTIF($B$6:$B$30,"*")</f>
        <v>0</v>
      </c>
      <c r="D5" s="38">
        <f t="shared" si="1"/>
        <v>0</v>
      </c>
      <c r="E5" s="38">
        <f t="shared" si="1"/>
        <v>0</v>
      </c>
      <c r="F5" s="38">
        <f t="shared" si="1"/>
        <v>0</v>
      </c>
      <c r="G5" s="38">
        <f t="shared" si="1"/>
        <v>0</v>
      </c>
      <c r="H5" s="38">
        <f t="shared" si="1"/>
        <v>0</v>
      </c>
      <c r="I5" s="38">
        <f t="shared" si="1"/>
        <v>0</v>
      </c>
      <c r="J5" s="38">
        <f t="shared" si="1"/>
        <v>0</v>
      </c>
      <c r="K5" s="38">
        <f t="shared" si="1"/>
        <v>0</v>
      </c>
      <c r="L5" s="38">
        <f t="shared" si="1"/>
        <v>0</v>
      </c>
      <c r="M5" s="38">
        <f t="shared" si="1"/>
        <v>0</v>
      </c>
      <c r="N5" s="38">
        <f t="shared" si="1"/>
        <v>0</v>
      </c>
      <c r="O5" s="38">
        <f t="shared" si="1"/>
        <v>0</v>
      </c>
      <c r="P5" s="38">
        <f t="shared" si="1"/>
        <v>0</v>
      </c>
      <c r="Q5" s="38">
        <f t="shared" si="1"/>
        <v>0</v>
      </c>
      <c r="R5" s="38">
        <f t="shared" si="1"/>
        <v>0</v>
      </c>
      <c r="S5" s="38">
        <f t="shared" si="1"/>
        <v>0</v>
      </c>
      <c r="T5" s="38">
        <f t="shared" si="1"/>
        <v>0</v>
      </c>
      <c r="U5" s="38">
        <f t="shared" si="1"/>
        <v>0</v>
      </c>
      <c r="V5" s="38">
        <f t="shared" si="1"/>
        <v>0</v>
      </c>
      <c r="W5" s="38">
        <f t="shared" si="1"/>
        <v>0</v>
      </c>
      <c r="X5" s="38">
        <f t="shared" si="1"/>
        <v>0</v>
      </c>
      <c r="Y5" s="38">
        <f t="shared" si="1"/>
        <v>0</v>
      </c>
      <c r="Z5" s="38">
        <f t="shared" si="1"/>
        <v>0</v>
      </c>
      <c r="AA5" s="38">
        <f t="shared" si="1"/>
        <v>0</v>
      </c>
      <c r="AB5" s="38">
        <f t="shared" si="1"/>
        <v>0</v>
      </c>
      <c r="AC5" s="38">
        <f t="shared" si="1"/>
        <v>0</v>
      </c>
      <c r="AD5" s="38">
        <f t="shared" si="1"/>
        <v>0</v>
      </c>
      <c r="AE5" s="38">
        <f t="shared" si="1"/>
        <v>0</v>
      </c>
      <c r="AF5" s="38">
        <f t="shared" si="1"/>
        <v>0</v>
      </c>
      <c r="AG5" s="38">
        <f t="shared" si="1"/>
        <v>0</v>
      </c>
      <c r="AH5" s="38">
        <f t="shared" si="1"/>
        <v>0</v>
      </c>
      <c r="AI5" s="38">
        <f t="shared" si="1"/>
        <v>0</v>
      </c>
      <c r="AJ5" s="44">
        <f t="shared" si="1"/>
        <v>0</v>
      </c>
      <c r="AK5" s="2"/>
      <c r="AL5" s="45"/>
    </row>
    <row r="6" ht="66.0" customHeight="1">
      <c r="A6" s="47">
        <v>1.0</v>
      </c>
      <c r="B6" s="48" t="s">
        <v>16</v>
      </c>
      <c r="C6" s="49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1"/>
      <c r="AK6" s="55">
        <f t="shared" ref="AK6:AK22" si="2">COUNTIF(C6:AJ6,"*")/COUNTIF($C$3:$AJ$4,"*")</f>
        <v>0</v>
      </c>
      <c r="AL6" s="2"/>
    </row>
    <row r="7" ht="54.75" customHeight="1">
      <c r="A7" s="57"/>
      <c r="B7" s="59" t="s">
        <v>19</v>
      </c>
      <c r="C7" s="6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2"/>
      <c r="AJ7" s="63"/>
      <c r="AK7" s="64">
        <f t="shared" si="2"/>
        <v>0</v>
      </c>
      <c r="AL7" s="2"/>
    </row>
    <row r="8" ht="54.75" customHeight="1">
      <c r="A8" s="65"/>
      <c r="B8" s="66" t="s">
        <v>20</v>
      </c>
      <c r="C8" s="67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73"/>
      <c r="AK8" s="74">
        <f t="shared" si="2"/>
        <v>0</v>
      </c>
      <c r="AL8" s="75"/>
    </row>
    <row r="9" ht="66.0" customHeight="1">
      <c r="A9" s="47">
        <v>2.0</v>
      </c>
      <c r="B9" s="48" t="s">
        <v>22</v>
      </c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1"/>
      <c r="AK9" s="55">
        <f t="shared" si="2"/>
        <v>0</v>
      </c>
      <c r="AL9" s="75"/>
    </row>
    <row r="10" ht="54.75" customHeight="1">
      <c r="A10" s="57"/>
      <c r="B10" s="59" t="s">
        <v>25</v>
      </c>
      <c r="C10" s="60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2"/>
      <c r="AJ10" s="63"/>
      <c r="AK10" s="64">
        <f t="shared" si="2"/>
        <v>0</v>
      </c>
      <c r="AL10" s="75"/>
    </row>
    <row r="11" ht="54.75" customHeight="1">
      <c r="A11" s="57"/>
      <c r="B11" s="59" t="s">
        <v>27</v>
      </c>
      <c r="C11" s="60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2"/>
      <c r="AJ11" s="63"/>
      <c r="AK11" s="64">
        <f t="shared" si="2"/>
        <v>0</v>
      </c>
      <c r="AL11" s="75"/>
    </row>
    <row r="12" ht="54.75" customHeight="1">
      <c r="A12" s="65"/>
      <c r="B12" s="66" t="s">
        <v>29</v>
      </c>
      <c r="C12" s="67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73"/>
      <c r="AK12" s="74">
        <f t="shared" si="2"/>
        <v>0</v>
      </c>
      <c r="AL12" s="80" t="s">
        <v>32</v>
      </c>
    </row>
    <row r="13" ht="66.0" customHeight="1">
      <c r="A13" s="47">
        <v>3.0</v>
      </c>
      <c r="B13" s="48" t="s">
        <v>33</v>
      </c>
      <c r="C13" s="49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1"/>
      <c r="AK13" s="55">
        <f t="shared" si="2"/>
        <v>0</v>
      </c>
      <c r="AL13" s="2"/>
    </row>
    <row r="14" ht="54.75" customHeight="1">
      <c r="A14" s="57"/>
      <c r="B14" s="59" t="s">
        <v>35</v>
      </c>
      <c r="C14" s="60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2"/>
      <c r="AJ14" s="63"/>
      <c r="AK14" s="64">
        <f t="shared" si="2"/>
        <v>0</v>
      </c>
      <c r="AL14" s="2"/>
    </row>
    <row r="15" ht="54.75" customHeight="1">
      <c r="A15" s="57"/>
      <c r="B15" s="59" t="s">
        <v>36</v>
      </c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  <c r="AJ15" s="63"/>
      <c r="AK15" s="64">
        <f t="shared" si="2"/>
        <v>0</v>
      </c>
      <c r="AL15" s="2"/>
    </row>
    <row r="16" ht="54.75" customHeight="1">
      <c r="A16" s="65"/>
      <c r="B16" s="66" t="s">
        <v>38</v>
      </c>
      <c r="C16" s="67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73"/>
      <c r="AK16" s="74">
        <f t="shared" si="2"/>
        <v>0</v>
      </c>
      <c r="AL16" s="2"/>
    </row>
    <row r="17" ht="66.0" customHeight="1">
      <c r="A17" s="47">
        <v>4.0</v>
      </c>
      <c r="B17" s="48" t="s">
        <v>41</v>
      </c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1"/>
      <c r="AK17" s="55">
        <f t="shared" si="2"/>
        <v>0</v>
      </c>
      <c r="AL17" s="2"/>
    </row>
    <row r="18" ht="54.75" customHeight="1">
      <c r="A18" s="57"/>
      <c r="B18" s="89" t="s">
        <v>43</v>
      </c>
      <c r="C18" s="90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62"/>
      <c r="AJ18" s="63"/>
      <c r="AK18" s="64">
        <f t="shared" si="2"/>
        <v>0</v>
      </c>
      <c r="AL18" s="2"/>
    </row>
    <row r="19" ht="54.75" customHeight="1">
      <c r="A19" s="65"/>
      <c r="B19" s="66" t="s">
        <v>45</v>
      </c>
      <c r="C19" s="67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73"/>
      <c r="AK19" s="74">
        <f t="shared" si="2"/>
        <v>0</v>
      </c>
      <c r="AL19" s="2"/>
    </row>
    <row r="20" ht="66.0" customHeight="1">
      <c r="A20" s="47">
        <v>5.0</v>
      </c>
      <c r="B20" s="48" t="s">
        <v>47</v>
      </c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1"/>
      <c r="AK20" s="55">
        <f t="shared" si="2"/>
        <v>0</v>
      </c>
      <c r="AL20" s="2"/>
    </row>
    <row r="21" ht="54.75" customHeight="1">
      <c r="A21" s="57"/>
      <c r="B21" s="59" t="s">
        <v>48</v>
      </c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2"/>
      <c r="AJ21" s="63"/>
      <c r="AK21" s="64">
        <f t="shared" si="2"/>
        <v>0</v>
      </c>
      <c r="AL21" s="2"/>
    </row>
    <row r="22" ht="54.75" customHeight="1">
      <c r="A22" s="57"/>
      <c r="B22" s="59" t="s">
        <v>49</v>
      </c>
      <c r="C22" s="6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2"/>
      <c r="AJ22" s="63"/>
      <c r="AK22" s="64">
        <f t="shared" si="2"/>
        <v>0</v>
      </c>
      <c r="AL22" s="2"/>
    </row>
    <row r="23" ht="54.75" customHeight="1">
      <c r="A23" s="57"/>
      <c r="B23" s="59" t="s">
        <v>50</v>
      </c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2"/>
      <c r="AJ23" s="63"/>
      <c r="AK23" s="64"/>
      <c r="AL23" s="2"/>
    </row>
    <row r="24" ht="54.75" customHeight="1">
      <c r="A24" s="57"/>
      <c r="B24" s="59" t="s">
        <v>51</v>
      </c>
      <c r="C24" s="9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K24" s="64">
        <f t="shared" ref="AK24:AK29" si="3">COUNTIF(C24:AJ24,"*")/COUNTIF($C$3:$AJ$4,"*")</f>
        <v>0</v>
      </c>
      <c r="AL24" s="2"/>
    </row>
    <row r="25" ht="54.75" customHeight="1">
      <c r="A25" s="65"/>
      <c r="B25" s="66" t="s">
        <v>52</v>
      </c>
      <c r="C25" s="67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73"/>
      <c r="AK25" s="74">
        <f t="shared" si="3"/>
        <v>0</v>
      </c>
      <c r="AL25" s="2"/>
    </row>
    <row r="26" ht="66.0" customHeight="1">
      <c r="A26" s="47">
        <v>6.0</v>
      </c>
      <c r="B26" s="48" t="s">
        <v>53</v>
      </c>
      <c r="C26" s="49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1"/>
      <c r="AK26" s="55">
        <f t="shared" si="3"/>
        <v>0</v>
      </c>
      <c r="AL26" s="2"/>
    </row>
    <row r="27" ht="54.75" customHeight="1">
      <c r="A27" s="57"/>
      <c r="B27" s="59" t="s">
        <v>54</v>
      </c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2"/>
      <c r="AJ27" s="63"/>
      <c r="AK27" s="64">
        <f t="shared" si="3"/>
        <v>0</v>
      </c>
      <c r="AL27" s="2"/>
    </row>
    <row r="28" ht="54.75" customHeight="1">
      <c r="A28" s="57"/>
      <c r="B28" s="59" t="s">
        <v>55</v>
      </c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2"/>
      <c r="AJ28" s="63"/>
      <c r="AK28" s="64">
        <f t="shared" si="3"/>
        <v>0</v>
      </c>
      <c r="AL28" s="2"/>
    </row>
    <row r="29" ht="54.75" customHeight="1">
      <c r="A29" s="96"/>
      <c r="B29" s="66" t="s">
        <v>56</v>
      </c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9"/>
      <c r="AK29" s="74">
        <f t="shared" si="3"/>
        <v>0</v>
      </c>
      <c r="AL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29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9.14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6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4.5" customHeight="1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6.25" customHeight="1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6.25" customHeight="1">
      <c r="A5" s="6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6.25" customHeight="1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6.25" customHeight="1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6.25" customHeight="1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6.25" customHeight="1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6.25" customHeight="1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6.25" customHeight="1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6.25" customHeight="1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6.25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6.25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6.25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