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 1" sheetId="1" r:id="rId5"/>
    <sheet state="visible" name=" Assessment 2" sheetId="2" r:id="rId6"/>
    <sheet state="visible" name="Assessment 3" sheetId="3" r:id="rId7"/>
    <sheet state="visible" name="Assessment 4" sheetId="4" r:id="rId8"/>
  </sheets>
  <definedNames/>
  <calcPr/>
</workbook>
</file>

<file path=xl/sharedStrings.xml><?xml version="1.0" encoding="utf-8"?>
<sst xmlns="http://schemas.openxmlformats.org/spreadsheetml/2006/main" count="144" uniqueCount="63">
  <si>
    <t>End of Unit Assessment | Computing | Year 6 | Spreadsheets</t>
  </si>
  <si>
    <t>NC Aims Covered in the Spreadsheets Unit</t>
  </si>
  <si>
    <t xml:space="preserve">All  </t>
  </si>
  <si>
    <t xml:space="preserve">Most  </t>
  </si>
  <si>
    <t xml:space="preserve">Some  </t>
  </si>
  <si>
    <t>Lesson Aim</t>
  </si>
  <si>
    <t>Success Criteria</t>
  </si>
  <si>
    <t xml:space="preserve">Select, use and combine a variety of software (including internet services) on a range of digital devices to design and create a range of programs, systems and content that accomplish given goals, including collecting, analysing, evaluating and presenting data and information. </t>
  </si>
  <si>
    <t>All children should be able to enter text and numbers into a spreadsheet; identify and refer to cells by row and column; and begin to enter formulae with the SUM function.</t>
  </si>
  <si>
    <t>Most children will be able to enter formulae into cells; edit data and discuss the effect on results; use further functions including AVERAGE, MIN and MAX; create graphs. They should also be able to design their own spreadsheet for a specific purpose.</t>
  </si>
  <si>
    <t>Some children will be able to enter and edit text, numbers and formulae purposefully and independently; understand the advantages of spreadsheets over comparative manual methods; explore further functions; select data and create graphs with appropriate formatting. Their own spreadsheet designs will fulfil a specific purpose and be presented appropriately.</t>
  </si>
  <si>
    <t>*Insert a character against the criteria the child has met. If they have not met the criteria leave it blank.*</t>
  </si>
  <si>
    <t>Name</t>
  </si>
  <si>
    <t>% of class</t>
  </si>
  <si>
    <t>% met by child</t>
  </si>
  <si>
    <t>Has the child met the all and most statements?</t>
  </si>
  <si>
    <t>I can enter data and formulas into a spreadsheet.</t>
  </si>
  <si>
    <t>I can identify cells using rows and columns.</t>
  </si>
  <si>
    <t>All</t>
  </si>
  <si>
    <t>Enter text and numbers into a spreadsheet.</t>
  </si>
  <si>
    <t>I can type text and numbers into cells.</t>
  </si>
  <si>
    <t>Identify and refer to cells by row and column.</t>
  </si>
  <si>
    <t>I can use the SUM function to add numbers together.</t>
  </si>
  <si>
    <t>Begin to enter formulae with the SUM function.</t>
  </si>
  <si>
    <t>I can use the SUM function to perform further calculations.</t>
  </si>
  <si>
    <t>Most</t>
  </si>
  <si>
    <t>Enter formulae into cells.</t>
  </si>
  <si>
    <t>I can order and present data based on calculations.</t>
  </si>
  <si>
    <t>Edit data and discuss the effect on results.</t>
  </si>
  <si>
    <t>I can use the fill tool to copy formulas correctly.</t>
  </si>
  <si>
    <t>Use further functions including AVERAGE, MIN and MAX.</t>
  </si>
  <si>
    <t>I can insert a bar or column graph.</t>
  </si>
  <si>
    <t>Create graphs.</t>
  </si>
  <si>
    <t>I can format aspects of a bar or column graph.</t>
  </si>
  <si>
    <t>Design their own spreadsheet for a specific purpose.</t>
  </si>
  <si>
    <t>I can sort data appropriately.</t>
  </si>
  <si>
    <t>Some</t>
  </si>
  <si>
    <t>Enter and edit text, numbers and formulae purposefully and independently.</t>
  </si>
  <si>
    <t xml:space="preserve"> </t>
  </si>
  <si>
    <t>I can add, edit and calculate data.</t>
  </si>
  <si>
    <t>Understand the advantages of spreadsheets over comparative manual methods.</t>
  </si>
  <si>
    <t>Explore further functions.</t>
  </si>
  <si>
    <t>I can use formulas to calculate totals and averages.</t>
  </si>
  <si>
    <t>Select data and create graphs with appropriate formatting.</t>
  </si>
  <si>
    <t>I can sort data by different criteria.</t>
  </si>
  <si>
    <t>Design appropriately presented spreadsheets to fulfil a specfic purpose.</t>
  </si>
  <si>
    <t>I can add extra data, including inserting rows or columns.</t>
  </si>
  <si>
    <t>I can edit existing data and be aware of the results.</t>
  </si>
  <si>
    <t>I can use a spreadsheet to solve problems.</t>
  </si>
  <si>
    <t>I can create a formula to solve a specific calculation (using figures and cell references).</t>
  </si>
  <si>
    <t>I can replicate formulas over several cells.</t>
  </si>
  <si>
    <t>I can check calculations for errors.</t>
  </si>
  <si>
    <t>I can interpret data and make comparisons.</t>
  </si>
  <si>
    <t>I can plan and calculate a spending budget.</t>
  </si>
  <si>
    <t>I can select and add items from a given list.</t>
  </si>
  <si>
    <t>I can calculate totals based on price and quantity of items.</t>
  </si>
  <si>
    <t>I can calculate a running total.</t>
  </si>
  <si>
    <t>I can calculate an amount remaining from a budget.</t>
  </si>
  <si>
    <t>I can design a spreadsheet for a specific purpose.</t>
  </si>
  <si>
    <t>I can plan the requirements for a new spreadsheet.</t>
  </si>
  <si>
    <t>I can make decisions on formatting to improve the appearance.</t>
  </si>
  <si>
    <t>I can think of original ideas for using a spreadsheet.</t>
  </si>
  <si>
    <t>I can create a range of suitable formulas for a purpose.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</si>
</sst>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8.0"/>
      <color theme="1"/>
      <name val="Arial"/>
    </font>
    <font/>
    <font>
      <sz val="11.0"/>
      <color theme="1"/>
      <name val="Arial"/>
    </font>
    <font>
      <b/>
      <sz val="14.0"/>
      <color theme="0"/>
      <name val="Arial"/>
    </font>
    <font>
      <sz val="11.0"/>
      <color rgb="FFDC205A"/>
      <name val="Arial"/>
    </font>
    <font>
      <i/>
      <sz val="11.0"/>
      <color theme="1"/>
      <name val="Arial"/>
    </font>
    <font>
      <sz val="10.0"/>
      <color rgb="FF3F3F3F"/>
      <name val="Arial"/>
    </font>
    <font>
      <sz val="11.0"/>
      <color rgb="FF3A3838"/>
      <name val="Arial"/>
    </font>
    <font>
      <b/>
      <sz val="11.0"/>
      <color theme="0"/>
      <name val="Arial"/>
    </font>
    <font>
      <sz val="11.0"/>
      <color rgb="FF3F3F3F"/>
      <name val="Arial"/>
    </font>
    <font>
      <sz val="9.0"/>
      <color theme="1"/>
      <name val="Arial"/>
    </font>
    <font>
      <sz val="10.0"/>
      <color theme="1"/>
      <name val="Arial"/>
    </font>
    <font>
      <sz val="9.0"/>
      <color rgb="FF3A3838"/>
      <name val="Arial"/>
    </font>
    <font>
      <i/>
      <sz val="10.0"/>
      <color theme="1"/>
      <name val="Arial"/>
    </font>
    <font>
      <sz val="10.0"/>
      <color rgb="FF3A3838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38AC2"/>
        <bgColor rgb="FF538AC2"/>
      </patternFill>
    </fill>
    <fill>
      <patternFill patternType="solid">
        <fgColor rgb="FFF2F2F2"/>
        <bgColor rgb="FFF2F2F2"/>
      </patternFill>
    </fill>
  </fills>
  <borders count="60">
    <border/>
    <border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top/>
    </border>
    <border>
      <right/>
      <top/>
      <bottom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/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left style="medium">
        <color rgb="FF000000"/>
      </left>
      <right style="medium">
        <color rgb="FF000000"/>
      </right>
      <top/>
      <bottom/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/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0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0" fillId="0" fontId="1" numFmtId="0" xfId="0" applyAlignment="1" applyFont="1">
      <alignment vertical="center"/>
    </xf>
    <xf borderId="1" fillId="0" fontId="2" numFmtId="0" xfId="0" applyBorder="1" applyFont="1"/>
    <xf borderId="0" fillId="0" fontId="3" numFmtId="0" xfId="0" applyFont="1"/>
    <xf borderId="2" fillId="2" fontId="4" numFmtId="0" xfId="0" applyAlignment="1" applyBorder="1" applyFill="1" applyFont="1">
      <alignment horizontal="center" vertical="center"/>
    </xf>
    <xf borderId="0" fillId="0" fontId="3" numFmtId="0" xfId="0" applyAlignment="1" applyFont="1">
      <alignment vertical="center"/>
    </xf>
    <xf borderId="1" fillId="0" fontId="1" numFmtId="0" xfId="0" applyAlignment="1" applyBorder="1" applyFont="1">
      <alignment vertical="center"/>
    </xf>
    <xf borderId="0" fillId="0" fontId="3" numFmtId="0" xfId="0" applyAlignment="1" applyFont="1">
      <alignment horizontal="left" shrinkToFit="0" vertical="top" wrapText="1"/>
    </xf>
    <xf borderId="3" fillId="2" fontId="3" numFmtId="0" xfId="0" applyAlignment="1" applyBorder="1" applyFill="1" applyFont="1">
      <alignment vertical="center"/>
    </xf>
    <xf borderId="0" fillId="0" fontId="5" numFmtId="0" xfId="0" applyAlignment="1" applyFont="1">
      <alignment shrinkToFit="0" vertical="center" wrapText="1"/>
    </xf>
    <xf borderId="4" fillId="3" fontId="6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3" fontId="7" numFmtId="0" xfId="0" applyAlignment="1" applyBorder="1" applyFill="1" applyFont="1">
      <alignment horizontal="left" shrinkToFit="0" vertical="top" wrapText="1"/>
    </xf>
    <xf borderId="7" fillId="0" fontId="2" numFmtId="0" xfId="0" applyBorder="1" applyFont="1"/>
    <xf borderId="8" fillId="0" fontId="2" numFmtId="0" xfId="0" applyBorder="1" applyFont="1"/>
    <xf borderId="0" fillId="0" fontId="6" numFmtId="0" xfId="0" applyAlignment="1" applyFont="1">
      <alignment horizontal="right" vertical="center"/>
    </xf>
    <xf borderId="9" fillId="0" fontId="2" numFmtId="0" xfId="0" applyBorder="1" applyFont="1"/>
    <xf borderId="10" fillId="0" fontId="3" numFmtId="0" xfId="0" applyAlignment="1" applyBorder="1" applyFont="1">
      <alignment horizontal="center" textRotation="90"/>
    </xf>
    <xf borderId="10" fillId="0" fontId="1" numFmtId="9" xfId="0" applyAlignment="1" applyBorder="1" applyFont="1" applyNumberFormat="1">
      <alignment horizontal="center" shrinkToFit="0" wrapText="1"/>
    </xf>
    <xf borderId="0" fillId="0" fontId="1" numFmtId="9" xfId="0" applyAlignment="1" applyFont="1" applyNumberFormat="1">
      <alignment horizontal="center" shrinkToFit="0" wrapText="1"/>
    </xf>
    <xf borderId="11" fillId="0" fontId="8" numFmtId="0" xfId="0" applyAlignment="1" applyBorder="1" applyFont="1">
      <alignment horizontal="center" textRotation="90"/>
    </xf>
    <xf borderId="10" fillId="0" fontId="2" numFmtId="0" xfId="0" applyBorder="1" applyFont="1"/>
    <xf borderId="12" fillId="0" fontId="8" numFmtId="0" xfId="0" applyAlignment="1" applyBorder="1" applyFont="1">
      <alignment horizontal="center" shrinkToFit="0" textRotation="90" wrapText="1"/>
    </xf>
    <xf borderId="13" fillId="2" fontId="9" numFmtId="9" xfId="0" applyAlignment="1" applyBorder="1" applyFill="1" applyFont="1" applyNumberFormat="1">
      <alignment horizontal="center" shrinkToFit="0" vertical="center" wrapText="1"/>
    </xf>
    <xf borderId="8" fillId="0" fontId="10" numFmtId="0" xfId="0" applyAlignment="1" applyBorder="1" applyFont="1">
      <alignment horizontal="left" vertical="center"/>
    </xf>
    <xf borderId="14" fillId="0" fontId="8" numFmtId="0" xfId="0" applyAlignment="1" applyBorder="1" applyFont="1">
      <alignment horizontal="center" shrinkToFit="0" textRotation="90" wrapText="1"/>
    </xf>
    <xf borderId="2" fillId="3" fontId="3" numFmtId="0" xfId="0" applyAlignment="1" applyBorder="1" applyFill="1" applyFont="1">
      <alignment horizontal="center" textRotation="90"/>
    </xf>
    <xf borderId="1" fillId="0" fontId="3" numFmtId="9" xfId="0" applyAlignment="1" applyBorder="1" applyFont="1" applyNumberFormat="1">
      <alignment horizontal="center" shrinkToFit="0" vertical="top" wrapText="1"/>
    </xf>
    <xf borderId="15" fillId="0" fontId="2" numFmtId="0" xfId="0" applyBorder="1" applyFont="1"/>
    <xf borderId="16" fillId="0" fontId="2" numFmtId="0" xfId="0" applyBorder="1" applyFont="1"/>
    <xf borderId="13" fillId="3" fontId="3" numFmtId="0" xfId="0" applyAlignment="1" applyBorder="1" applyFill="1" applyFont="1">
      <alignment horizontal="center" textRotation="90"/>
    </xf>
    <xf borderId="17" fillId="3" fontId="3" numFmtId="0" xfId="0" applyAlignment="1" applyBorder="1" applyFill="1" applyFont="1">
      <alignment horizontal="right" shrinkToFit="0" vertical="center" wrapText="1"/>
    </xf>
    <xf borderId="18" fillId="0" fontId="2" numFmtId="0" xfId="0" applyBorder="1" applyFont="1"/>
    <xf borderId="15" fillId="0" fontId="3" numFmtId="9" xfId="0" applyAlignment="1" applyBorder="1" applyFont="1" applyNumberFormat="1">
      <alignment horizontal="center" shrinkToFit="0" vertical="top" wrapText="1"/>
    </xf>
    <xf borderId="19" fillId="3" fontId="8" numFmtId="9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left" vertical="top"/>
    </xf>
    <xf borderId="20" fillId="3" fontId="3" numFmtId="0" xfId="0" applyAlignment="1" applyBorder="1" applyFill="1" applyFont="1">
      <alignment horizontal="right" shrinkToFit="0" vertical="center" wrapText="1"/>
    </xf>
    <xf borderId="21" fillId="3" fontId="8" numFmtId="9" xfId="0" applyAlignment="1" applyBorder="1" applyFill="1" applyFont="1" applyNumberFormat="1">
      <alignment horizontal="center" shrinkToFit="0" vertical="center" wrapText="1"/>
    </xf>
    <xf borderId="22" fillId="3" fontId="8" numFmtId="9" xfId="0" applyAlignment="1" applyBorder="1" applyFill="1" applyFont="1" applyNumberFormat="1">
      <alignment horizontal="center" shrinkToFit="0" vertical="center" wrapText="1"/>
    </xf>
    <xf borderId="23" fillId="3" fontId="3" numFmtId="0" xfId="0" applyAlignment="1" applyBorder="1" applyFill="1" applyFont="1">
      <alignment horizontal="center" textRotation="90"/>
    </xf>
    <xf borderId="24" fillId="3" fontId="8" numFmtId="9" xfId="0" applyAlignment="1" applyBorder="1" applyFill="1" applyFont="1" applyNumberFormat="1">
      <alignment horizontal="center" shrinkToFit="0" vertical="center" wrapText="1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vertical="center" wrapText="1"/>
    </xf>
    <xf borderId="11" fillId="0" fontId="1" numFmtId="0" xfId="0" applyAlignment="1" applyBorder="1" applyFont="1">
      <alignment horizontal="left" shrinkToFit="0" vertical="top" wrapText="1"/>
    </xf>
    <xf borderId="25" fillId="3" fontId="11" numFmtId="0" xfId="0" applyAlignment="1" applyBorder="1" applyFill="1" applyFont="1">
      <alignment horizontal="right" shrinkToFit="0" vertical="center" wrapText="1"/>
    </xf>
    <xf borderId="26" fillId="2" fontId="12" numFmtId="0" xfId="0" applyAlignment="1" applyBorder="1" applyFill="1" applyFont="1">
      <alignment horizontal="left" shrinkToFit="0" vertical="center" wrapText="1"/>
    </xf>
    <xf borderId="27" fillId="0" fontId="2" numFmtId="0" xfId="0" applyBorder="1" applyFont="1"/>
    <xf borderId="28" fillId="0" fontId="3" numFmtId="0" xfId="0" applyAlignment="1" applyBorder="1" applyFont="1">
      <alignment horizontal="center" shrinkToFit="0" vertical="center" wrapText="1"/>
    </xf>
    <xf borderId="29" fillId="0" fontId="3" numFmtId="0" xfId="0" applyAlignment="1" applyBorder="1" applyFont="1">
      <alignment horizontal="center" shrinkToFit="0" vertical="center" wrapText="1"/>
    </xf>
    <xf borderId="30" fillId="3" fontId="13" numFmtId="9" xfId="0" applyAlignment="1" applyBorder="1" applyFill="1" applyFont="1" applyNumberFormat="1">
      <alignment horizontal="center" shrinkToFit="0" vertical="center" wrapText="1"/>
    </xf>
    <xf borderId="31" fillId="0" fontId="10" numFmtId="0" xfId="0" applyAlignment="1" applyBorder="1" applyFont="1">
      <alignment horizontal="left" vertical="center"/>
    </xf>
    <xf borderId="32" fillId="0" fontId="3" numFmtId="0" xfId="0" applyAlignment="1" applyBorder="1" applyFont="1">
      <alignment horizontal="center" shrinkToFit="0" vertical="center" wrapText="1"/>
    </xf>
    <xf borderId="33" fillId="3" fontId="3" numFmtId="9" xfId="0" applyAlignment="1" applyBorder="1" applyFill="1" applyFont="1" applyNumberFormat="1">
      <alignment vertical="center"/>
    </xf>
    <xf borderId="16" fillId="0" fontId="1" numFmtId="0" xfId="0" applyAlignment="1" applyBorder="1" applyFont="1">
      <alignment horizontal="left" shrinkToFit="0" vertical="top" wrapText="1"/>
    </xf>
    <xf borderId="34" fillId="3" fontId="14" numFmtId="0" xfId="0" applyAlignment="1" applyBorder="1" applyFill="1" applyFont="1">
      <alignment horizontal="left" shrinkToFit="0" vertical="center" wrapText="1"/>
    </xf>
    <xf borderId="35" fillId="0" fontId="3" numFmtId="0" xfId="0" applyAlignment="1" applyBorder="1" applyFont="1">
      <alignment horizontal="center" shrinkToFit="0" vertical="center" wrapText="1"/>
    </xf>
    <xf borderId="36" fillId="0" fontId="3" numFmtId="0" xfId="0" applyAlignment="1" applyBorder="1" applyFont="1">
      <alignment horizontal="center" shrinkToFit="0" vertical="center" wrapText="1"/>
    </xf>
    <xf borderId="37" fillId="3" fontId="3" numFmtId="9" xfId="0" applyAlignment="1" applyBorder="1" applyFill="1" applyFont="1" applyNumberFormat="1">
      <alignment horizontal="right" vertical="center"/>
    </xf>
    <xf borderId="0" fillId="0" fontId="11" numFmtId="0" xfId="0" applyAlignment="1" applyFont="1">
      <alignment horizontal="center"/>
    </xf>
    <xf borderId="38" fillId="2" fontId="1" numFmtId="0" xfId="0" applyAlignment="1" applyBorder="1" applyFill="1" applyFont="1">
      <alignment horizontal="center" textRotation="90" vertical="center"/>
    </xf>
    <xf borderId="33" fillId="3" fontId="15" numFmtId="0" xfId="0" applyAlignment="1" applyBorder="1" applyFill="1" applyFont="1">
      <alignment horizontal="left" shrinkToFit="0" vertical="center" wrapText="1"/>
    </xf>
    <xf borderId="39" fillId="0" fontId="3" numFmtId="0" xfId="0" applyAlignment="1" applyBorder="1" applyFont="1">
      <alignment horizontal="center" shrinkToFit="0" vertical="center" wrapText="1"/>
    </xf>
    <xf borderId="40" fillId="0" fontId="3" numFmtId="0" xfId="0" applyAlignment="1" applyBorder="1" applyFont="1">
      <alignment horizontal="center" shrinkToFit="0" vertical="center" wrapText="1"/>
    </xf>
    <xf borderId="41" fillId="0" fontId="3" numFmtId="0" xfId="0" applyAlignment="1" applyBorder="1" applyFont="1">
      <alignment horizontal="center" shrinkToFit="0" vertical="center" wrapText="1"/>
    </xf>
    <xf borderId="42" fillId="3" fontId="3" numFmtId="9" xfId="0" applyAlignment="1" applyBorder="1" applyFill="1" applyFont="1" applyNumberFormat="1">
      <alignment vertical="center"/>
    </xf>
    <xf borderId="42" fillId="3" fontId="15" numFmtId="0" xfId="0" applyAlignment="1" applyBorder="1" applyFill="1" applyFont="1">
      <alignment horizontal="left" shrinkToFit="0" vertical="center" wrapText="1"/>
    </xf>
    <xf borderId="43" fillId="0" fontId="3" numFmtId="0" xfId="0" applyAlignment="1" applyBorder="1" applyFont="1">
      <alignment horizontal="center" shrinkToFit="0" vertical="center" wrapText="1"/>
    </xf>
    <xf borderId="44" fillId="0" fontId="3" numFmtId="0" xfId="0" applyAlignment="1" applyBorder="1" applyFont="1">
      <alignment horizontal="center" shrinkToFit="0" vertical="center" wrapText="1"/>
    </xf>
    <xf borderId="31" fillId="0" fontId="2" numFmtId="0" xfId="0" applyBorder="1" applyFont="1"/>
    <xf borderId="37" fillId="3" fontId="15" numFmtId="0" xfId="0" applyAlignment="1" applyBorder="1" applyFill="1" applyFont="1">
      <alignment horizontal="left" shrinkToFit="0" vertical="center" wrapText="1"/>
    </xf>
    <xf borderId="45" fillId="0" fontId="3" numFmtId="0" xfId="0" applyAlignment="1" applyBorder="1" applyFont="1">
      <alignment horizontal="center" shrinkToFit="0" vertical="center" wrapText="1"/>
    </xf>
    <xf borderId="46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vertical="top"/>
    </xf>
    <xf borderId="47" fillId="0" fontId="1" numFmtId="0" xfId="0" applyAlignment="1" applyBorder="1" applyFont="1">
      <alignment horizontal="left" shrinkToFit="0" vertical="top" wrapText="1"/>
    </xf>
    <xf borderId="48" fillId="3" fontId="14" numFmtId="0" xfId="0" applyAlignment="1" applyBorder="1" applyFill="1" applyFont="1">
      <alignment horizontal="left" shrinkToFit="0" vertical="center" wrapText="1"/>
    </xf>
    <xf borderId="49" fillId="0" fontId="3" numFmtId="0" xfId="0" applyAlignment="1" applyBorder="1" applyFont="1">
      <alignment horizontal="center" shrinkToFit="0" vertical="center" wrapText="1"/>
    </xf>
    <xf borderId="50" fillId="0" fontId="3" numFmtId="0" xfId="0" applyAlignment="1" applyBorder="1" applyFont="1">
      <alignment horizontal="center" shrinkToFit="0" vertical="center" wrapText="1"/>
    </xf>
    <xf borderId="37" fillId="3" fontId="3" numFmtId="9" xfId="0" applyAlignment="1" applyBorder="1" applyFill="1" applyFont="1" applyNumberFormat="1">
      <alignment vertical="center"/>
    </xf>
    <xf borderId="23" fillId="3" fontId="15" numFmtId="0" xfId="0" applyAlignment="1" applyBorder="1" applyFill="1" applyFont="1">
      <alignment horizontal="left" shrinkToFit="0" vertical="center" wrapText="1"/>
    </xf>
    <xf borderId="51" fillId="0" fontId="3" numFmtId="0" xfId="0" applyAlignment="1" applyBorder="1" applyFont="1">
      <alignment horizontal="center" shrinkToFit="0" vertical="center" wrapText="1"/>
    </xf>
    <xf borderId="52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top" wrapText="1"/>
    </xf>
    <xf borderId="0" fillId="0" fontId="16" numFmtId="0" xfId="0" applyAlignment="1" applyFont="1">
      <alignment vertical="top"/>
    </xf>
    <xf borderId="53" fillId="2" fontId="1" numFmtId="0" xfId="0" applyAlignment="1" applyBorder="1" applyFill="1" applyFont="1">
      <alignment horizontal="center" textRotation="90" vertical="center"/>
    </xf>
    <xf borderId="26" fillId="3" fontId="15" numFmtId="0" xfId="0" applyAlignment="1" applyBorder="1" applyFill="1" applyFont="1">
      <alignment horizontal="left" shrinkToFit="0" vertical="center" wrapText="1"/>
    </xf>
    <xf borderId="0" fillId="0" fontId="11" numFmtId="0" xfId="0" applyAlignment="1" applyFont="1">
      <alignment vertical="center"/>
    </xf>
    <xf borderId="2" fillId="3" fontId="3" numFmtId="9" xfId="0" applyAlignment="1" applyBorder="1" applyFill="1" applyFont="1" applyNumberFormat="1">
      <alignment vertical="center"/>
    </xf>
    <xf borderId="54" fillId="0" fontId="2" numFmtId="0" xfId="0" applyBorder="1" applyFont="1"/>
    <xf borderId="55" fillId="3" fontId="15" numFmtId="0" xfId="0" applyAlignment="1" applyBorder="1" applyFill="1" applyFont="1">
      <alignment horizontal="left" shrinkToFit="0" vertical="center" wrapText="1"/>
    </xf>
    <xf borderId="56" fillId="0" fontId="2" numFmtId="0" xfId="0" applyBorder="1" applyFont="1"/>
    <xf borderId="48" fillId="3" fontId="15" numFmtId="0" xfId="0" applyAlignment="1" applyBorder="1" applyFill="1" applyFont="1">
      <alignment horizontal="left" shrinkToFit="0" vertical="center" wrapText="1"/>
    </xf>
    <xf borderId="57" fillId="3" fontId="14" numFmtId="0" xfId="0" applyAlignment="1" applyBorder="1" applyFill="1" applyFont="1">
      <alignment horizontal="left" shrinkToFit="0" vertical="center" wrapText="1"/>
    </xf>
    <xf borderId="58" fillId="0" fontId="3" numFmtId="0" xfId="0" applyAlignment="1" applyBorder="1" applyFont="1">
      <alignment horizontal="center" shrinkToFit="0" vertical="center" wrapText="1"/>
    </xf>
    <xf borderId="59" fillId="0" fontId="3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vertical="center"/>
    </xf>
    <xf borderId="44" fillId="0" fontId="3" numFmtId="0" xfId="0" applyAlignment="1" applyBorder="1" applyFont="1">
      <alignment horizontal="center"/>
    </xf>
    <xf borderId="40" fillId="0" fontId="3" numFmtId="0" xfId="0" applyAlignment="1" applyBorder="1" applyFont="1">
      <alignment horizontal="center"/>
    </xf>
    <xf borderId="41" fillId="0" fontId="3" numFmtId="0" xfId="0" applyAlignment="1" applyBorder="1" applyFont="1">
      <alignment horizontal="center"/>
    </xf>
    <xf borderId="47" fillId="0" fontId="1" numFmtId="0" xfId="0" applyAlignment="1" applyBorder="1" applyFont="1">
      <alignment horizontal="center" vertical="center"/>
    </xf>
    <xf borderId="49" fillId="0" fontId="3" numFmtId="0" xfId="0" applyAlignment="1" applyBorder="1" applyFont="1">
      <alignment horizontal="center"/>
    </xf>
    <xf borderId="46" fillId="0" fontId="3" numFmtId="0" xfId="0" applyAlignment="1" applyBorder="1" applyFont="1">
      <alignment horizontal="center"/>
    </xf>
    <xf borderId="50" fillId="0" fontId="3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63.43"/>
    <col customWidth="1" min="4" max="7" width="9.14"/>
    <col customWidth="1" min="8" max="26" width="8.71"/>
  </cols>
  <sheetData>
    <row r="1" ht="30.0" customHeight="1">
      <c r="A1" s="1" t="s">
        <v>0</v>
      </c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.25" customHeight="1">
      <c r="A2" s="5" t="s">
        <v>2</v>
      </c>
      <c r="B2" s="5" t="s">
        <v>3</v>
      </c>
      <c r="C2" s="5" t="s">
        <v>4</v>
      </c>
      <c r="D2" s="4"/>
      <c r="E2" s="8"/>
      <c r="F2" s="8"/>
      <c r="G2" s="8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13" t="s">
        <v>8</v>
      </c>
      <c r="B3" s="13" t="s">
        <v>9</v>
      </c>
      <c r="C3" s="13" t="s">
        <v>10</v>
      </c>
      <c r="D3" s="4"/>
      <c r="E3" s="8"/>
      <c r="F3" s="8"/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15"/>
      <c r="B4" s="15"/>
      <c r="C4" s="15"/>
      <c r="D4" s="4"/>
      <c r="E4" s="8"/>
      <c r="F4" s="8"/>
      <c r="G4" s="8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15"/>
      <c r="B5" s="15"/>
      <c r="C5" s="15"/>
      <c r="D5" s="4"/>
      <c r="E5" s="8"/>
      <c r="F5" s="8"/>
      <c r="G5" s="8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17"/>
      <c r="B6" s="17"/>
      <c r="C6" s="17"/>
      <c r="D6" s="4"/>
      <c r="E6" s="8"/>
      <c r="F6" s="8"/>
      <c r="G6" s="8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24">
        <f t="shared" ref="A7:C7" si="1">(COUNTIF(A8:A38, "*"))/(COUNTIF($A$8:$C$38, "*"))</f>
        <v>0.3333333333</v>
      </c>
      <c r="B7" s="24">
        <f t="shared" si="1"/>
        <v>0.3333333333</v>
      </c>
      <c r="C7" s="24">
        <f t="shared" si="1"/>
        <v>0.3333333333</v>
      </c>
      <c r="D7" s="4"/>
      <c r="E7" s="8"/>
      <c r="F7" s="8"/>
      <c r="G7" s="8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25" t="s">
        <v>12</v>
      </c>
      <c r="B8" s="25" t="s">
        <v>12</v>
      </c>
      <c r="C8" s="25" t="s">
        <v>12</v>
      </c>
      <c r="D8" s="4"/>
      <c r="E8" s="8"/>
      <c r="F8" s="8"/>
      <c r="G8" s="8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25" t="s">
        <v>12</v>
      </c>
      <c r="B9" s="25" t="s">
        <v>12</v>
      </c>
      <c r="C9" s="25" t="s">
        <v>12</v>
      </c>
      <c r="D9" s="4"/>
      <c r="E9" s="8"/>
      <c r="F9" s="8"/>
      <c r="G9" s="8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25" t="s">
        <v>12</v>
      </c>
      <c r="B10" s="25" t="s">
        <v>12</v>
      </c>
      <c r="C10" s="25" t="s">
        <v>12</v>
      </c>
      <c r="D10" s="4"/>
      <c r="E10" s="8"/>
      <c r="F10" s="8"/>
      <c r="G10" s="8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25" t="s">
        <v>12</v>
      </c>
      <c r="B11" s="25" t="s">
        <v>12</v>
      </c>
      <c r="C11" s="25" t="s">
        <v>12</v>
      </c>
      <c r="D11" s="4"/>
      <c r="E11" s="8"/>
      <c r="F11" s="8"/>
      <c r="G11" s="8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25"/>
      <c r="B12" s="25"/>
      <c r="C12" s="25"/>
      <c r="D12" s="4"/>
      <c r="E12" s="8"/>
      <c r="F12" s="8"/>
      <c r="G12" s="8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25"/>
      <c r="B13" s="25"/>
      <c r="C13" s="25"/>
      <c r="D13" s="4"/>
      <c r="E13" s="8"/>
      <c r="F13" s="8"/>
      <c r="G13" s="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25"/>
      <c r="B14" s="25"/>
      <c r="C14" s="25"/>
      <c r="D14" s="4"/>
      <c r="E14" s="8"/>
      <c r="F14" s="8"/>
      <c r="G14" s="8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25"/>
      <c r="B15" s="25"/>
      <c r="C15" s="25"/>
      <c r="D15" s="4"/>
      <c r="E15" s="8"/>
      <c r="F15" s="8"/>
      <c r="G15" s="8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25"/>
      <c r="B16" s="25"/>
      <c r="C16" s="25"/>
      <c r="D16" s="4"/>
      <c r="E16" s="8"/>
      <c r="F16" s="8"/>
      <c r="G16" s="8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25"/>
      <c r="B17" s="25"/>
      <c r="C17" s="25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25"/>
      <c r="B18" s="25"/>
      <c r="C18" s="25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25"/>
      <c r="B19" s="25"/>
      <c r="C19" s="25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25"/>
      <c r="B20" s="25"/>
      <c r="C20" s="25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25"/>
      <c r="B21" s="25"/>
      <c r="C21" s="25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25"/>
      <c r="B22" s="25"/>
      <c r="C22" s="25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25"/>
      <c r="B23" s="25"/>
      <c r="C23" s="25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25"/>
      <c r="B24" s="25"/>
      <c r="C24" s="25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25"/>
      <c r="B25" s="25"/>
      <c r="C25" s="25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25"/>
      <c r="B26" s="25"/>
      <c r="C26" s="2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25"/>
      <c r="B27" s="25"/>
      <c r="C27" s="25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25"/>
      <c r="B28" s="25"/>
      <c r="C28" s="25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25"/>
      <c r="B29" s="25"/>
      <c r="C29" s="25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25"/>
      <c r="B30" s="25"/>
      <c r="C30" s="25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25"/>
      <c r="B31" s="25"/>
      <c r="C31" s="25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25"/>
      <c r="B32" s="25"/>
      <c r="C32" s="25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25"/>
      <c r="B33" s="25"/>
      <c r="C33" s="25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25"/>
      <c r="B34" s="25"/>
      <c r="C34" s="25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25"/>
      <c r="B35" s="25"/>
      <c r="C35" s="25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25"/>
      <c r="B36" s="25"/>
      <c r="C36" s="25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25"/>
      <c r="B37" s="25"/>
      <c r="C37" s="25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51"/>
      <c r="B38" s="51"/>
      <c r="C38" s="51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C1"/>
    <mergeCell ref="A3:A6"/>
    <mergeCell ref="B3:B6"/>
    <mergeCell ref="C3:C6"/>
  </mergeCells>
  <printOptions/>
  <pageMargins bottom="0.75" footer="0.0" header="0.0" left="0.7" right="0.7" top="0.75"/>
  <pageSetup paperSize="9"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9.14"/>
    <col customWidth="1" min="3" max="36" width="6.14"/>
    <col customWidth="1" min="37" max="38" width="9.14"/>
  </cols>
  <sheetData>
    <row r="1" ht="30.0" customHeight="1">
      <c r="A1" s="7" t="str">
        <f>'Assessment 1'!A1</f>
        <v>End of Unit Assessment | Computing | Year 6 | Spreadsheets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16" t="s">
        <v>11</v>
      </c>
      <c r="AK1" s="4"/>
      <c r="AL1" s="4"/>
    </row>
    <row r="2" ht="114.0" customHeight="1">
      <c r="A2" s="20"/>
      <c r="B2" s="22"/>
      <c r="C2" s="21" t="s">
        <v>12</v>
      </c>
      <c r="D2" s="23" t="s">
        <v>12</v>
      </c>
      <c r="E2" s="23" t="s">
        <v>12</v>
      </c>
      <c r="F2" s="23" t="s">
        <v>12</v>
      </c>
      <c r="G2" s="23" t="s">
        <v>12</v>
      </c>
      <c r="H2" s="23" t="s">
        <v>12</v>
      </c>
      <c r="I2" s="23" t="s">
        <v>12</v>
      </c>
      <c r="J2" s="23" t="s">
        <v>12</v>
      </c>
      <c r="K2" s="23" t="s">
        <v>12</v>
      </c>
      <c r="L2" s="23" t="s">
        <v>12</v>
      </c>
      <c r="M2" s="23" t="s">
        <v>12</v>
      </c>
      <c r="N2" s="23" t="s">
        <v>12</v>
      </c>
      <c r="O2" s="23" t="s">
        <v>12</v>
      </c>
      <c r="P2" s="23" t="s">
        <v>12</v>
      </c>
      <c r="Q2" s="23" t="s">
        <v>12</v>
      </c>
      <c r="R2" s="23" t="s">
        <v>12</v>
      </c>
      <c r="S2" s="23" t="s">
        <v>12</v>
      </c>
      <c r="T2" s="23" t="s">
        <v>12</v>
      </c>
      <c r="U2" s="23" t="s">
        <v>12</v>
      </c>
      <c r="V2" s="23" t="s">
        <v>12</v>
      </c>
      <c r="W2" s="23" t="s">
        <v>12</v>
      </c>
      <c r="X2" s="23" t="s">
        <v>12</v>
      </c>
      <c r="Y2" s="23" t="s">
        <v>12</v>
      </c>
      <c r="Z2" s="23" t="s">
        <v>12</v>
      </c>
      <c r="AA2" s="23" t="s">
        <v>12</v>
      </c>
      <c r="AB2" s="23" t="s">
        <v>12</v>
      </c>
      <c r="AC2" s="23" t="s">
        <v>12</v>
      </c>
      <c r="AD2" s="23" t="s">
        <v>12</v>
      </c>
      <c r="AE2" s="23" t="s">
        <v>12</v>
      </c>
      <c r="AF2" s="23" t="s">
        <v>12</v>
      </c>
      <c r="AG2" s="23" t="s">
        <v>12</v>
      </c>
      <c r="AH2" s="23" t="s">
        <v>12</v>
      </c>
      <c r="AI2" s="23" t="s">
        <v>12</v>
      </c>
      <c r="AJ2" s="26" t="s">
        <v>12</v>
      </c>
      <c r="AK2" s="27"/>
      <c r="AL2" s="4"/>
    </row>
    <row r="3" ht="56.25" customHeight="1">
      <c r="A3" s="28"/>
      <c r="B3" s="29"/>
      <c r="C3" s="30"/>
      <c r="AJ3" s="22"/>
      <c r="AK3" s="31" t="s">
        <v>13</v>
      </c>
      <c r="AL3" s="4"/>
    </row>
    <row r="4" ht="21.0" customHeight="1">
      <c r="A4" s="32" t="s">
        <v>14</v>
      </c>
      <c r="B4" s="33"/>
      <c r="C4" s="35">
        <f t="shared" ref="C4:AJ4" si="1">COUNTIF(C6:C28,"*")/COUNTIF($B$6:$B$28,"*")</f>
        <v>0</v>
      </c>
      <c r="D4" s="35">
        <f t="shared" si="1"/>
        <v>0</v>
      </c>
      <c r="E4" s="35">
        <f t="shared" si="1"/>
        <v>0</v>
      </c>
      <c r="F4" s="35">
        <f t="shared" si="1"/>
        <v>0</v>
      </c>
      <c r="G4" s="35">
        <f t="shared" si="1"/>
        <v>0</v>
      </c>
      <c r="H4" s="35">
        <f t="shared" si="1"/>
        <v>0</v>
      </c>
      <c r="I4" s="35">
        <f t="shared" si="1"/>
        <v>0</v>
      </c>
      <c r="J4" s="35">
        <f t="shared" si="1"/>
        <v>0</v>
      </c>
      <c r="K4" s="35">
        <f t="shared" si="1"/>
        <v>0</v>
      </c>
      <c r="L4" s="35">
        <f t="shared" si="1"/>
        <v>0</v>
      </c>
      <c r="M4" s="35">
        <f t="shared" si="1"/>
        <v>0</v>
      </c>
      <c r="N4" s="35">
        <f t="shared" si="1"/>
        <v>0</v>
      </c>
      <c r="O4" s="35">
        <f t="shared" si="1"/>
        <v>0</v>
      </c>
      <c r="P4" s="35">
        <f t="shared" si="1"/>
        <v>0</v>
      </c>
      <c r="Q4" s="35">
        <f t="shared" si="1"/>
        <v>0</v>
      </c>
      <c r="R4" s="35">
        <f t="shared" si="1"/>
        <v>0</v>
      </c>
      <c r="S4" s="35">
        <f t="shared" si="1"/>
        <v>0</v>
      </c>
      <c r="T4" s="35">
        <f t="shared" si="1"/>
        <v>0</v>
      </c>
      <c r="U4" s="35">
        <f t="shared" si="1"/>
        <v>0</v>
      </c>
      <c r="V4" s="35">
        <f t="shared" si="1"/>
        <v>0</v>
      </c>
      <c r="W4" s="35">
        <f t="shared" si="1"/>
        <v>0</v>
      </c>
      <c r="X4" s="35">
        <f t="shared" si="1"/>
        <v>0</v>
      </c>
      <c r="Y4" s="35">
        <f t="shared" si="1"/>
        <v>0</v>
      </c>
      <c r="Z4" s="35">
        <f t="shared" si="1"/>
        <v>0</v>
      </c>
      <c r="AA4" s="35">
        <f t="shared" si="1"/>
        <v>0</v>
      </c>
      <c r="AB4" s="35">
        <f t="shared" si="1"/>
        <v>0</v>
      </c>
      <c r="AC4" s="35">
        <f t="shared" si="1"/>
        <v>0</v>
      </c>
      <c r="AD4" s="35">
        <f t="shared" si="1"/>
        <v>0</v>
      </c>
      <c r="AE4" s="35">
        <f t="shared" si="1"/>
        <v>0</v>
      </c>
      <c r="AF4" s="35">
        <f t="shared" si="1"/>
        <v>0</v>
      </c>
      <c r="AG4" s="35">
        <f t="shared" si="1"/>
        <v>0</v>
      </c>
      <c r="AH4" s="35">
        <f t="shared" si="1"/>
        <v>0</v>
      </c>
      <c r="AI4" s="35">
        <f t="shared" si="1"/>
        <v>0</v>
      </c>
      <c r="AJ4" s="39">
        <f t="shared" si="1"/>
        <v>0</v>
      </c>
      <c r="AK4" s="40"/>
      <c r="AL4" s="42"/>
    </row>
    <row r="5" ht="30.75" customHeight="1">
      <c r="A5" s="45" t="s">
        <v>15</v>
      </c>
      <c r="B5" s="47"/>
      <c r="C5" s="50" t="str">
        <f t="shared" ref="C5:AJ5" si="2">IF(COUNTIF(C6:C13, "*")=8, "y", "n")</f>
        <v>n</v>
      </c>
      <c r="D5" s="50" t="str">
        <f t="shared" si="2"/>
        <v>n</v>
      </c>
      <c r="E5" s="50" t="str">
        <f t="shared" si="2"/>
        <v>n</v>
      </c>
      <c r="F5" s="50" t="str">
        <f t="shared" si="2"/>
        <v>n</v>
      </c>
      <c r="G5" s="50" t="str">
        <f t="shared" si="2"/>
        <v>n</v>
      </c>
      <c r="H5" s="50" t="str">
        <f t="shared" si="2"/>
        <v>n</v>
      </c>
      <c r="I5" s="50" t="str">
        <f t="shared" si="2"/>
        <v>n</v>
      </c>
      <c r="J5" s="50" t="str">
        <f t="shared" si="2"/>
        <v>n</v>
      </c>
      <c r="K5" s="50" t="str">
        <f t="shared" si="2"/>
        <v>n</v>
      </c>
      <c r="L5" s="50" t="str">
        <f t="shared" si="2"/>
        <v>n</v>
      </c>
      <c r="M5" s="50" t="str">
        <f t="shared" si="2"/>
        <v>n</v>
      </c>
      <c r="N5" s="50" t="str">
        <f t="shared" si="2"/>
        <v>n</v>
      </c>
      <c r="O5" s="50" t="str">
        <f t="shared" si="2"/>
        <v>n</v>
      </c>
      <c r="P5" s="50" t="str">
        <f t="shared" si="2"/>
        <v>n</v>
      </c>
      <c r="Q5" s="50" t="str">
        <f t="shared" si="2"/>
        <v>n</v>
      </c>
      <c r="R5" s="50" t="str">
        <f t="shared" si="2"/>
        <v>n</v>
      </c>
      <c r="S5" s="50" t="str">
        <f t="shared" si="2"/>
        <v>n</v>
      </c>
      <c r="T5" s="50" t="str">
        <f t="shared" si="2"/>
        <v>n</v>
      </c>
      <c r="U5" s="50" t="str">
        <f t="shared" si="2"/>
        <v>n</v>
      </c>
      <c r="V5" s="50" t="str">
        <f t="shared" si="2"/>
        <v>n</v>
      </c>
      <c r="W5" s="50" t="str">
        <f t="shared" si="2"/>
        <v>n</v>
      </c>
      <c r="X5" s="50" t="str">
        <f t="shared" si="2"/>
        <v>n</v>
      </c>
      <c r="Y5" s="50" t="str">
        <f t="shared" si="2"/>
        <v>n</v>
      </c>
      <c r="Z5" s="50" t="str">
        <f t="shared" si="2"/>
        <v>n</v>
      </c>
      <c r="AA5" s="50" t="str">
        <f t="shared" si="2"/>
        <v>n</v>
      </c>
      <c r="AB5" s="50" t="str">
        <f t="shared" si="2"/>
        <v>n</v>
      </c>
      <c r="AC5" s="50" t="str">
        <f t="shared" si="2"/>
        <v>n</v>
      </c>
      <c r="AD5" s="50" t="str">
        <f t="shared" si="2"/>
        <v>n</v>
      </c>
      <c r="AE5" s="50" t="str">
        <f t="shared" si="2"/>
        <v>n</v>
      </c>
      <c r="AF5" s="50" t="str">
        <f t="shared" si="2"/>
        <v>n</v>
      </c>
      <c r="AG5" s="50" t="str">
        <f t="shared" si="2"/>
        <v>n</v>
      </c>
      <c r="AH5" s="50" t="str">
        <f t="shared" si="2"/>
        <v>n</v>
      </c>
      <c r="AI5" s="50" t="str">
        <f t="shared" si="2"/>
        <v>n</v>
      </c>
      <c r="AJ5" s="50" t="str">
        <f t="shared" si="2"/>
        <v>n</v>
      </c>
      <c r="AK5" s="58">
        <f>COUNTIF(C5:AJ5, "y")/COUNTIF(C2:AJ2,"*")</f>
        <v>0</v>
      </c>
      <c r="AL5" s="59"/>
    </row>
    <row r="6" ht="54.75" customHeight="1">
      <c r="A6" s="60" t="s">
        <v>18</v>
      </c>
      <c r="B6" s="61" t="s">
        <v>19</v>
      </c>
      <c r="C6" s="62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52"/>
      <c r="AK6" s="53">
        <f t="shared" ref="AK6:AK18" si="3">COUNTIF(C6:AJ6,"*")/COUNTIF($C$2:$AJ$3,"*")</f>
        <v>0</v>
      </c>
      <c r="AL6" s="4"/>
    </row>
    <row r="7" ht="54.75" customHeight="1">
      <c r="A7" s="15"/>
      <c r="B7" s="66" t="s">
        <v>21</v>
      </c>
      <c r="C7" s="67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4"/>
      <c r="AK7" s="65">
        <f t="shared" si="3"/>
        <v>0</v>
      </c>
      <c r="AL7" s="4"/>
    </row>
    <row r="8" ht="54.75" customHeight="1">
      <c r="A8" s="69"/>
      <c r="B8" s="70" t="s">
        <v>23</v>
      </c>
      <c r="C8" s="71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7"/>
      <c r="AK8" s="78">
        <f t="shared" si="3"/>
        <v>0</v>
      </c>
      <c r="AL8" s="4"/>
    </row>
    <row r="9" ht="54.75" customHeight="1">
      <c r="A9" s="60" t="s">
        <v>25</v>
      </c>
      <c r="B9" s="61" t="s">
        <v>26</v>
      </c>
      <c r="C9" s="62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52"/>
      <c r="AK9" s="53">
        <f t="shared" si="3"/>
        <v>0</v>
      </c>
      <c r="AL9" s="4"/>
    </row>
    <row r="10" ht="54.75" customHeight="1">
      <c r="A10" s="15"/>
      <c r="B10" s="79" t="s">
        <v>28</v>
      </c>
      <c r="C10" s="80"/>
      <c r="D10" s="57"/>
      <c r="E10" s="57"/>
      <c r="F10" s="57"/>
      <c r="G10" s="57"/>
      <c r="H10" s="57"/>
      <c r="I10" s="57"/>
      <c r="J10" s="57"/>
      <c r="K10" s="57"/>
      <c r="L10" s="57"/>
      <c r="M10" s="57"/>
      <c r="N10" s="57"/>
      <c r="O10" s="57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81"/>
      <c r="AK10" s="65">
        <f t="shared" si="3"/>
        <v>0</v>
      </c>
      <c r="AL10" s="4"/>
    </row>
    <row r="11" ht="54.75" customHeight="1">
      <c r="A11" s="15"/>
      <c r="B11" s="79" t="s">
        <v>30</v>
      </c>
      <c r="C11" s="80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81"/>
      <c r="AK11" s="65">
        <f t="shared" si="3"/>
        <v>0</v>
      </c>
      <c r="AL11" s="4"/>
    </row>
    <row r="12" ht="54.75" customHeight="1">
      <c r="A12" s="15"/>
      <c r="B12" s="66" t="s">
        <v>32</v>
      </c>
      <c r="C12" s="67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4"/>
      <c r="AK12" s="65">
        <f t="shared" si="3"/>
        <v>0</v>
      </c>
      <c r="AL12" s="82"/>
    </row>
    <row r="13" ht="54.75" customHeight="1">
      <c r="A13" s="69"/>
      <c r="B13" s="70" t="s">
        <v>34</v>
      </c>
      <c r="C13" s="71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7"/>
      <c r="AK13" s="78">
        <f t="shared" si="3"/>
        <v>0</v>
      </c>
      <c r="AL13" s="83"/>
    </row>
    <row r="14" ht="54.75" customHeight="1">
      <c r="A14" s="84" t="s">
        <v>36</v>
      </c>
      <c r="B14" s="85" t="s">
        <v>37</v>
      </c>
      <c r="C14" s="48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52"/>
      <c r="AK14" s="87">
        <f t="shared" si="3"/>
        <v>0</v>
      </c>
      <c r="AL14" s="83"/>
    </row>
    <row r="15" ht="54.75" customHeight="1">
      <c r="A15" s="88"/>
      <c r="B15" s="89" t="s">
        <v>40</v>
      </c>
      <c r="C15" s="56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81"/>
      <c r="AK15" s="65">
        <f t="shared" si="3"/>
        <v>0</v>
      </c>
      <c r="AL15" s="83"/>
    </row>
    <row r="16" ht="54.75" customHeight="1">
      <c r="A16" s="88"/>
      <c r="B16" s="89" t="s">
        <v>41</v>
      </c>
      <c r="C16" s="56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81"/>
      <c r="AK16" s="65">
        <f t="shared" si="3"/>
        <v>0</v>
      </c>
      <c r="AL16" s="83"/>
    </row>
    <row r="17" ht="54.75" customHeight="1">
      <c r="A17" s="88"/>
      <c r="B17" s="89" t="s">
        <v>43</v>
      </c>
      <c r="C17" s="56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81"/>
      <c r="AK17" s="65">
        <f t="shared" si="3"/>
        <v>0</v>
      </c>
      <c r="AL17" s="83"/>
    </row>
    <row r="18" ht="54.75" customHeight="1">
      <c r="A18" s="90"/>
      <c r="B18" s="91" t="s">
        <v>45</v>
      </c>
      <c r="C18" s="76"/>
      <c r="D18" s="72"/>
      <c r="E18" s="72"/>
      <c r="F18" s="72"/>
      <c r="G18" s="72"/>
      <c r="H18" s="72"/>
      <c r="I18" s="72"/>
      <c r="J18" s="72"/>
      <c r="K18" s="72"/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2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7"/>
      <c r="AK18" s="78">
        <f t="shared" si="3"/>
        <v>0</v>
      </c>
      <c r="AL18" s="83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83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83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83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</sheetData>
  <mergeCells count="42">
    <mergeCell ref="T2:T3"/>
    <mergeCell ref="U2:U3"/>
    <mergeCell ref="V2:V3"/>
    <mergeCell ref="W2:W3"/>
    <mergeCell ref="X2:X3"/>
    <mergeCell ref="Y2:Y3"/>
    <mergeCell ref="Z2:Z3"/>
    <mergeCell ref="AH2:AH3"/>
    <mergeCell ref="AI2:AI3"/>
    <mergeCell ref="AJ2:AJ3"/>
    <mergeCell ref="AA2:AA3"/>
    <mergeCell ref="AB2:AB3"/>
    <mergeCell ref="AC2:AC3"/>
    <mergeCell ref="AD2:AD3"/>
    <mergeCell ref="AE2:AE3"/>
    <mergeCell ref="AF2:AF3"/>
    <mergeCell ref="AG2:A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A3:B3"/>
    <mergeCell ref="A4:B4"/>
    <mergeCell ref="A5:B5"/>
    <mergeCell ref="A6:A8"/>
    <mergeCell ref="A9:A13"/>
    <mergeCell ref="A14:A18"/>
    <mergeCell ref="A1:T1"/>
    <mergeCell ref="A2:B2"/>
    <mergeCell ref="C2:C3"/>
    <mergeCell ref="D2:D3"/>
    <mergeCell ref="E2:E3"/>
    <mergeCell ref="F2:F3"/>
    <mergeCell ref="G2:G3"/>
  </mergeCells>
  <printOptions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8.57"/>
    <col customWidth="1" min="3" max="36" width="6.14"/>
    <col customWidth="1" min="37" max="38" width="9.14"/>
  </cols>
  <sheetData>
    <row r="1" ht="30.0" customHeight="1">
      <c r="A1" s="2" t="str">
        <f>'Assessment 1'!A1</f>
        <v>End of Unit Assessment | Computing | Year 6 | Spreadsheets</v>
      </c>
      <c r="AK1" s="4"/>
      <c r="AL1" s="4"/>
    </row>
    <row r="2" ht="21.0" customHeight="1">
      <c r="A2" s="6"/>
      <c r="B2" s="9" t="s">
        <v>5</v>
      </c>
      <c r="C2" s="11" t="s">
        <v>6</v>
      </c>
      <c r="D2" s="12"/>
      <c r="E2" s="12"/>
      <c r="F2" s="12"/>
      <c r="G2" s="1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6" t="s">
        <v>11</v>
      </c>
      <c r="AK2" s="4"/>
      <c r="AL2" s="4"/>
    </row>
    <row r="3" ht="114.0" customHeight="1">
      <c r="A3" s="18"/>
      <c r="B3" s="19"/>
      <c r="C3" s="21" t="s">
        <v>12</v>
      </c>
      <c r="D3" s="23" t="s">
        <v>12</v>
      </c>
      <c r="E3" s="23" t="s">
        <v>12</v>
      </c>
      <c r="F3" s="23" t="s">
        <v>12</v>
      </c>
      <c r="G3" s="23" t="s">
        <v>12</v>
      </c>
      <c r="H3" s="23" t="s">
        <v>12</v>
      </c>
      <c r="I3" s="23" t="s">
        <v>12</v>
      </c>
      <c r="J3" s="23" t="s">
        <v>12</v>
      </c>
      <c r="K3" s="23" t="s">
        <v>12</v>
      </c>
      <c r="L3" s="23" t="s">
        <v>12</v>
      </c>
      <c r="M3" s="23" t="s">
        <v>12</v>
      </c>
      <c r="N3" s="23" t="s">
        <v>12</v>
      </c>
      <c r="O3" s="23" t="s">
        <v>12</v>
      </c>
      <c r="P3" s="23" t="s">
        <v>12</v>
      </c>
      <c r="Q3" s="23" t="s">
        <v>12</v>
      </c>
      <c r="R3" s="23" t="s">
        <v>12</v>
      </c>
      <c r="S3" s="23" t="s">
        <v>12</v>
      </c>
      <c r="T3" s="23" t="s">
        <v>12</v>
      </c>
      <c r="U3" s="23" t="s">
        <v>12</v>
      </c>
      <c r="V3" s="23" t="s">
        <v>12</v>
      </c>
      <c r="W3" s="23" t="s">
        <v>12</v>
      </c>
      <c r="X3" s="23" t="s">
        <v>12</v>
      </c>
      <c r="Y3" s="23" t="s">
        <v>12</v>
      </c>
      <c r="Z3" s="23" t="s">
        <v>12</v>
      </c>
      <c r="AA3" s="23" t="s">
        <v>12</v>
      </c>
      <c r="AB3" s="23" t="s">
        <v>12</v>
      </c>
      <c r="AC3" s="23" t="s">
        <v>12</v>
      </c>
      <c r="AD3" s="23" t="s">
        <v>12</v>
      </c>
      <c r="AE3" s="23" t="s">
        <v>12</v>
      </c>
      <c r="AF3" s="23" t="s">
        <v>12</v>
      </c>
      <c r="AG3" s="23" t="s">
        <v>12</v>
      </c>
      <c r="AH3" s="23" t="s">
        <v>12</v>
      </c>
      <c r="AI3" s="23" t="s">
        <v>12</v>
      </c>
      <c r="AJ3" s="26" t="s">
        <v>12</v>
      </c>
      <c r="AK3" s="4"/>
      <c r="AL3" s="4"/>
    </row>
    <row r="4" ht="56.25" customHeight="1">
      <c r="A4" s="22"/>
      <c r="B4" s="34"/>
      <c r="C4" s="30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29"/>
      <c r="AK4" s="4"/>
      <c r="AL4" s="36"/>
    </row>
    <row r="5" ht="21.0" customHeight="1">
      <c r="A5" s="22"/>
      <c r="B5" s="37" t="s">
        <v>14</v>
      </c>
      <c r="C5" s="38">
        <f t="shared" ref="C5:AJ5" si="1">COUNTIF(C6:C36,"*")/COUNTIF($B$6:$B$36,"*")</f>
        <v>0</v>
      </c>
      <c r="D5" s="38">
        <f t="shared" si="1"/>
        <v>0</v>
      </c>
      <c r="E5" s="38">
        <f t="shared" si="1"/>
        <v>0</v>
      </c>
      <c r="F5" s="38">
        <f t="shared" si="1"/>
        <v>0</v>
      </c>
      <c r="G5" s="38">
        <f t="shared" si="1"/>
        <v>0</v>
      </c>
      <c r="H5" s="38">
        <f t="shared" si="1"/>
        <v>0</v>
      </c>
      <c r="I5" s="38">
        <f t="shared" si="1"/>
        <v>0</v>
      </c>
      <c r="J5" s="38">
        <f t="shared" si="1"/>
        <v>0</v>
      </c>
      <c r="K5" s="38">
        <f t="shared" si="1"/>
        <v>0</v>
      </c>
      <c r="L5" s="38">
        <f t="shared" si="1"/>
        <v>0</v>
      </c>
      <c r="M5" s="38">
        <f t="shared" si="1"/>
        <v>0</v>
      </c>
      <c r="N5" s="38">
        <f t="shared" si="1"/>
        <v>0</v>
      </c>
      <c r="O5" s="38">
        <f t="shared" si="1"/>
        <v>0</v>
      </c>
      <c r="P5" s="38">
        <f t="shared" si="1"/>
        <v>0</v>
      </c>
      <c r="Q5" s="38">
        <f t="shared" si="1"/>
        <v>0</v>
      </c>
      <c r="R5" s="38">
        <f t="shared" si="1"/>
        <v>0</v>
      </c>
      <c r="S5" s="38">
        <f t="shared" si="1"/>
        <v>0</v>
      </c>
      <c r="T5" s="38">
        <f t="shared" si="1"/>
        <v>0</v>
      </c>
      <c r="U5" s="38">
        <f t="shared" si="1"/>
        <v>0</v>
      </c>
      <c r="V5" s="38">
        <f t="shared" si="1"/>
        <v>0</v>
      </c>
      <c r="W5" s="38">
        <f t="shared" si="1"/>
        <v>0</v>
      </c>
      <c r="X5" s="38">
        <f t="shared" si="1"/>
        <v>0</v>
      </c>
      <c r="Y5" s="38">
        <f t="shared" si="1"/>
        <v>0</v>
      </c>
      <c r="Z5" s="38">
        <f t="shared" si="1"/>
        <v>0</v>
      </c>
      <c r="AA5" s="38">
        <f t="shared" si="1"/>
        <v>0</v>
      </c>
      <c r="AB5" s="38">
        <f t="shared" si="1"/>
        <v>0</v>
      </c>
      <c r="AC5" s="38">
        <f t="shared" si="1"/>
        <v>0</v>
      </c>
      <c r="AD5" s="38">
        <f t="shared" si="1"/>
        <v>0</v>
      </c>
      <c r="AE5" s="38">
        <f t="shared" si="1"/>
        <v>0</v>
      </c>
      <c r="AF5" s="38">
        <f t="shared" si="1"/>
        <v>0</v>
      </c>
      <c r="AG5" s="38">
        <f t="shared" si="1"/>
        <v>0</v>
      </c>
      <c r="AH5" s="38">
        <f t="shared" si="1"/>
        <v>0</v>
      </c>
      <c r="AI5" s="38">
        <f t="shared" si="1"/>
        <v>0</v>
      </c>
      <c r="AJ5" s="41">
        <f t="shared" si="1"/>
        <v>0</v>
      </c>
      <c r="AK5" s="4"/>
      <c r="AL5" s="43"/>
    </row>
    <row r="6" ht="66.0" customHeight="1">
      <c r="A6" s="44">
        <v>1.0</v>
      </c>
      <c r="B6" s="46" t="s">
        <v>16</v>
      </c>
      <c r="C6" s="48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52"/>
      <c r="AK6" s="53">
        <f t="shared" ref="AK6:AK35" si="2">COUNTIF(C6:AJ6,"*")/COUNTIF($C$3:$AJ$4,"*")</f>
        <v>0</v>
      </c>
      <c r="AL6" s="4"/>
    </row>
    <row r="7" ht="45.0" customHeight="1">
      <c r="A7" s="54"/>
      <c r="B7" s="55" t="s">
        <v>17</v>
      </c>
      <c r="C7" s="56"/>
      <c r="D7" s="57"/>
      <c r="E7" s="57"/>
      <c r="F7" s="57"/>
      <c r="G7" s="57"/>
      <c r="H7" s="57"/>
      <c r="I7" s="57"/>
      <c r="J7" s="57"/>
      <c r="K7" s="57"/>
      <c r="L7" s="57"/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63"/>
      <c r="AJ7" s="64"/>
      <c r="AK7" s="65">
        <f t="shared" si="2"/>
        <v>0</v>
      </c>
      <c r="AL7" s="4"/>
    </row>
    <row r="8" ht="45.0" customHeight="1">
      <c r="A8" s="54"/>
      <c r="B8" s="55" t="s">
        <v>20</v>
      </c>
      <c r="C8" s="56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63"/>
      <c r="AJ8" s="64"/>
      <c r="AK8" s="65">
        <f t="shared" si="2"/>
        <v>0</v>
      </c>
      <c r="AL8" s="4"/>
    </row>
    <row r="9" ht="45.0" customHeight="1">
      <c r="A9" s="54"/>
      <c r="B9" s="55" t="s">
        <v>22</v>
      </c>
      <c r="C9" s="68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4"/>
      <c r="AK9" s="65">
        <f t="shared" si="2"/>
        <v>0</v>
      </c>
      <c r="AL9" s="73"/>
    </row>
    <row r="10" ht="45.0" customHeight="1">
      <c r="A10" s="74"/>
      <c r="B10" s="75" t="s">
        <v>24</v>
      </c>
      <c r="C10" s="76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7"/>
      <c r="AK10" s="78">
        <f t="shared" si="2"/>
        <v>0</v>
      </c>
      <c r="AL10" s="73"/>
    </row>
    <row r="11" ht="66.0" customHeight="1">
      <c r="A11" s="44">
        <v>2.0</v>
      </c>
      <c r="B11" s="46" t="s">
        <v>27</v>
      </c>
      <c r="C11" s="48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52"/>
      <c r="AK11" s="53">
        <f t="shared" si="2"/>
        <v>0</v>
      </c>
      <c r="AL11" s="73"/>
    </row>
    <row r="12" ht="45.0" customHeight="1">
      <c r="A12" s="54"/>
      <c r="B12" s="55" t="s">
        <v>29</v>
      </c>
      <c r="C12" s="56"/>
      <c r="D12" s="57"/>
      <c r="E12" s="57"/>
      <c r="F12" s="57"/>
      <c r="G12" s="57"/>
      <c r="H12" s="57"/>
      <c r="I12" s="57"/>
      <c r="J12" s="57"/>
      <c r="K12" s="57"/>
      <c r="L12" s="57"/>
      <c r="M12" s="57"/>
      <c r="N12" s="57"/>
      <c r="O12" s="57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63"/>
      <c r="AJ12" s="64"/>
      <c r="AK12" s="65">
        <f t="shared" si="2"/>
        <v>0</v>
      </c>
      <c r="AL12" s="73"/>
    </row>
    <row r="13" ht="45.0" customHeight="1">
      <c r="A13" s="54"/>
      <c r="B13" s="55" t="s">
        <v>31</v>
      </c>
      <c r="C13" s="56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63"/>
      <c r="AJ13" s="64"/>
      <c r="AK13" s="65">
        <f t="shared" si="2"/>
        <v>0</v>
      </c>
      <c r="AL13" s="73"/>
    </row>
    <row r="14" ht="45.0" customHeight="1">
      <c r="A14" s="54"/>
      <c r="B14" s="55" t="s">
        <v>33</v>
      </c>
      <c r="C14" s="68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4"/>
      <c r="AK14" s="65">
        <f t="shared" si="2"/>
        <v>0</v>
      </c>
      <c r="AL14" s="73"/>
    </row>
    <row r="15" ht="45.0" customHeight="1">
      <c r="A15" s="74"/>
      <c r="B15" s="75" t="s">
        <v>35</v>
      </c>
      <c r="C15" s="76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7"/>
      <c r="AK15" s="78">
        <f t="shared" si="2"/>
        <v>0</v>
      </c>
      <c r="AL15" s="86" t="s">
        <v>38</v>
      </c>
    </row>
    <row r="16" ht="66.0" customHeight="1">
      <c r="A16" s="44">
        <v>3.0</v>
      </c>
      <c r="B16" s="46" t="s">
        <v>39</v>
      </c>
      <c r="C16" s="48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52"/>
      <c r="AK16" s="53">
        <f t="shared" si="2"/>
        <v>0</v>
      </c>
      <c r="AL16" s="4"/>
    </row>
    <row r="17" ht="45.0" customHeight="1">
      <c r="A17" s="54"/>
      <c r="B17" s="55" t="s">
        <v>42</v>
      </c>
      <c r="C17" s="56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63"/>
      <c r="AJ17" s="64"/>
      <c r="AK17" s="65">
        <f t="shared" si="2"/>
        <v>0</v>
      </c>
      <c r="AL17" s="4"/>
    </row>
    <row r="18" ht="45.0" customHeight="1">
      <c r="A18" s="54"/>
      <c r="B18" s="55" t="s">
        <v>44</v>
      </c>
      <c r="C18" s="56"/>
      <c r="D18" s="57"/>
      <c r="E18" s="57"/>
      <c r="F18" s="57"/>
      <c r="G18" s="57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63"/>
      <c r="AJ18" s="64"/>
      <c r="AK18" s="65">
        <f t="shared" si="2"/>
        <v>0</v>
      </c>
      <c r="AL18" s="4"/>
    </row>
    <row r="19" ht="45.0" customHeight="1">
      <c r="A19" s="54"/>
      <c r="B19" s="55" t="s">
        <v>46</v>
      </c>
      <c r="C19" s="68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4"/>
      <c r="AK19" s="65">
        <f t="shared" si="2"/>
        <v>0</v>
      </c>
      <c r="AL19" s="4"/>
    </row>
    <row r="20" ht="45.0" customHeight="1">
      <c r="A20" s="74"/>
      <c r="B20" s="75" t="s">
        <v>47</v>
      </c>
      <c r="C20" s="76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7"/>
      <c r="AK20" s="78">
        <f t="shared" si="2"/>
        <v>0</v>
      </c>
      <c r="AL20" s="4"/>
    </row>
    <row r="21" ht="66.0" customHeight="1">
      <c r="A21" s="44">
        <v>4.0</v>
      </c>
      <c r="B21" s="46" t="s">
        <v>48</v>
      </c>
      <c r="C21" s="48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52"/>
      <c r="AK21" s="53">
        <f t="shared" si="2"/>
        <v>0</v>
      </c>
      <c r="AL21" s="4"/>
    </row>
    <row r="22" ht="45.0" customHeight="1">
      <c r="A22" s="54"/>
      <c r="B22" s="55" t="s">
        <v>49</v>
      </c>
      <c r="C22" s="68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4"/>
      <c r="AK22" s="65">
        <f t="shared" si="2"/>
        <v>0</v>
      </c>
      <c r="AL22" s="4"/>
    </row>
    <row r="23" ht="45.0" customHeight="1">
      <c r="A23" s="54"/>
      <c r="B23" s="92" t="s">
        <v>50</v>
      </c>
      <c r="C23" s="93"/>
      <c r="D23" s="94"/>
      <c r="E23" s="94"/>
      <c r="F23" s="94"/>
      <c r="G23" s="94"/>
      <c r="H23" s="94"/>
      <c r="I23" s="94"/>
      <c r="J23" s="94"/>
      <c r="K23" s="94"/>
      <c r="L23" s="94"/>
      <c r="M23" s="94"/>
      <c r="N23" s="94"/>
      <c r="O23" s="94"/>
      <c r="P23" s="94"/>
      <c r="Q23" s="94"/>
      <c r="R23" s="94"/>
      <c r="S23" s="94"/>
      <c r="T23" s="94"/>
      <c r="U23" s="94"/>
      <c r="V23" s="94"/>
      <c r="W23" s="94"/>
      <c r="X23" s="94"/>
      <c r="Y23" s="94"/>
      <c r="Z23" s="94"/>
      <c r="AA23" s="94"/>
      <c r="AB23" s="94"/>
      <c r="AC23" s="94"/>
      <c r="AD23" s="94"/>
      <c r="AE23" s="94"/>
      <c r="AF23" s="94"/>
      <c r="AG23" s="94"/>
      <c r="AH23" s="94"/>
      <c r="AI23" s="63"/>
      <c r="AJ23" s="64"/>
      <c r="AK23" s="65">
        <f t="shared" si="2"/>
        <v>0</v>
      </c>
      <c r="AL23" s="4"/>
    </row>
    <row r="24" ht="45.0" customHeight="1">
      <c r="A24" s="54"/>
      <c r="B24" s="92" t="s">
        <v>51</v>
      </c>
      <c r="C24" s="93"/>
      <c r="D24" s="94"/>
      <c r="E24" s="94"/>
      <c r="F24" s="94"/>
      <c r="G24" s="94"/>
      <c r="H24" s="94"/>
      <c r="I24" s="94"/>
      <c r="J24" s="94"/>
      <c r="K24" s="94"/>
      <c r="L24" s="94"/>
      <c r="M24" s="94"/>
      <c r="N24" s="94"/>
      <c r="O24" s="94"/>
      <c r="P24" s="94"/>
      <c r="Q24" s="94"/>
      <c r="R24" s="94"/>
      <c r="S24" s="94"/>
      <c r="T24" s="94"/>
      <c r="U24" s="94"/>
      <c r="V24" s="94"/>
      <c r="W24" s="94"/>
      <c r="X24" s="94"/>
      <c r="Y24" s="94"/>
      <c r="Z24" s="94"/>
      <c r="AA24" s="94"/>
      <c r="AB24" s="94"/>
      <c r="AC24" s="94"/>
      <c r="AD24" s="94"/>
      <c r="AE24" s="94"/>
      <c r="AF24" s="94"/>
      <c r="AG24" s="94"/>
      <c r="AH24" s="94"/>
      <c r="AI24" s="63"/>
      <c r="AJ24" s="64"/>
      <c r="AK24" s="65">
        <f t="shared" si="2"/>
        <v>0</v>
      </c>
      <c r="AL24" s="4"/>
    </row>
    <row r="25" ht="45.0" customHeight="1">
      <c r="A25" s="74"/>
      <c r="B25" s="75" t="s">
        <v>52</v>
      </c>
      <c r="C25" s="76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72"/>
      <c r="O25" s="72"/>
      <c r="P25" s="72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7"/>
      <c r="AK25" s="78">
        <f t="shared" si="2"/>
        <v>0</v>
      </c>
      <c r="AL25" s="4"/>
    </row>
    <row r="26" ht="66.0" customHeight="1">
      <c r="A26" s="44">
        <v>5.0</v>
      </c>
      <c r="B26" s="46" t="s">
        <v>53</v>
      </c>
      <c r="C26" s="48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49"/>
      <c r="R26" s="49"/>
      <c r="S26" s="49"/>
      <c r="T26" s="49"/>
      <c r="U26" s="49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  <c r="AJ26" s="52"/>
      <c r="AK26" s="53">
        <f t="shared" si="2"/>
        <v>0</v>
      </c>
      <c r="AL26" s="4"/>
    </row>
    <row r="27" ht="45.0" customHeight="1">
      <c r="A27" s="54"/>
      <c r="B27" s="55" t="s">
        <v>54</v>
      </c>
      <c r="C27" s="56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63"/>
      <c r="AJ27" s="64"/>
      <c r="AK27" s="65">
        <f t="shared" si="2"/>
        <v>0</v>
      </c>
      <c r="AL27" s="4"/>
    </row>
    <row r="28" ht="45.0" customHeight="1">
      <c r="A28" s="54"/>
      <c r="B28" s="55" t="s">
        <v>55</v>
      </c>
      <c r="C28" s="56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63"/>
      <c r="AJ28" s="64"/>
      <c r="AK28" s="65">
        <f t="shared" si="2"/>
        <v>0</v>
      </c>
      <c r="AL28" s="4"/>
    </row>
    <row r="29" ht="45.0" customHeight="1">
      <c r="A29" s="54"/>
      <c r="B29" s="55" t="s">
        <v>56</v>
      </c>
      <c r="C29" s="68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4"/>
      <c r="AK29" s="65">
        <f t="shared" si="2"/>
        <v>0</v>
      </c>
      <c r="AL29" s="4"/>
    </row>
    <row r="30" ht="45.0" customHeight="1">
      <c r="A30" s="74"/>
      <c r="B30" s="75" t="s">
        <v>57</v>
      </c>
      <c r="C30" s="76"/>
      <c r="D30" s="72"/>
      <c r="E30" s="72"/>
      <c r="F30" s="72"/>
      <c r="G30" s="72"/>
      <c r="H30" s="72"/>
      <c r="I30" s="72"/>
      <c r="J30" s="72"/>
      <c r="K30" s="7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7"/>
      <c r="AK30" s="78">
        <f t="shared" si="2"/>
        <v>0</v>
      </c>
      <c r="AL30" s="4"/>
    </row>
    <row r="31" ht="66.0" customHeight="1">
      <c r="A31" s="44">
        <v>6.0</v>
      </c>
      <c r="B31" s="46" t="s">
        <v>58</v>
      </c>
      <c r="C31" s="48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52"/>
      <c r="AK31" s="53">
        <f t="shared" si="2"/>
        <v>0</v>
      </c>
      <c r="AL31" s="4"/>
    </row>
    <row r="32" ht="45.0" customHeight="1">
      <c r="A32" s="54"/>
      <c r="B32" s="55" t="s">
        <v>59</v>
      </c>
      <c r="C32" s="56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63"/>
      <c r="AJ32" s="64"/>
      <c r="AK32" s="65">
        <f t="shared" si="2"/>
        <v>0</v>
      </c>
      <c r="AL32" s="4"/>
    </row>
    <row r="33" ht="45.0" customHeight="1">
      <c r="A33" s="54"/>
      <c r="B33" s="55" t="s">
        <v>60</v>
      </c>
      <c r="C33" s="56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63"/>
      <c r="AJ33" s="64"/>
      <c r="AK33" s="65">
        <f t="shared" si="2"/>
        <v>0</v>
      </c>
      <c r="AL33" s="4"/>
    </row>
    <row r="34" ht="45.0" customHeight="1">
      <c r="A34" s="95"/>
      <c r="B34" s="55" t="s">
        <v>61</v>
      </c>
      <c r="C34" s="96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8"/>
      <c r="AK34" s="65">
        <f t="shared" si="2"/>
        <v>0</v>
      </c>
      <c r="AL34" s="4"/>
    </row>
    <row r="35" ht="45.0" customHeight="1">
      <c r="A35" s="99"/>
      <c r="B35" s="75" t="s">
        <v>62</v>
      </c>
      <c r="C35" s="100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2"/>
      <c r="AK35" s="78">
        <f t="shared" si="2"/>
        <v>0</v>
      </c>
      <c r="AL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</sheetData>
  <mergeCells count="37"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I3:AI4"/>
    <mergeCell ref="AJ3:AJ4"/>
    <mergeCell ref="A1:AJ1"/>
    <mergeCell ref="C2:G2"/>
    <mergeCell ref="A3:A5"/>
    <mergeCell ref="C3:C4"/>
    <mergeCell ref="D3:D4"/>
    <mergeCell ref="E3:E4"/>
    <mergeCell ref="F3:F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</mergeCells>
  <conditionalFormatting sqref="C6:AJ8 C9 C10:AJ35 E9:AJ9">
    <cfRule type="cellIs" dxfId="0" priority="1" operator="equal">
      <formula>"*"</formula>
    </cfRule>
  </conditionalFormatting>
  <printOptions/>
  <pageMargins bottom="0.75" footer="0.0" header="0.0" left="0.7" right="0.7" top="0.75"/>
  <pageSetup paperSize="9" scale="3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0.0"/>
    <col customWidth="1" min="2" max="6" width="9.14"/>
    <col customWidth="1" min="7" max="26" width="8.71"/>
  </cols>
  <sheetData>
    <row r="1" ht="30.0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6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84.75" customHeight="1">
      <c r="A3" s="10" t="s">
        <v>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84.75" customHeight="1">
      <c r="A4" s="10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84.75" customHeight="1">
      <c r="A5" s="10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84.75" customHeight="1">
      <c r="A6" s="10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84.75" customHeight="1">
      <c r="A7" s="10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84.75" customHeight="1">
      <c r="A8" s="10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84.75" customHeight="1">
      <c r="A9" s="10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84.75" customHeight="1">
      <c r="A10" s="10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84.75" customHeight="1">
      <c r="A11" s="10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84.75" customHeight="1">
      <c r="A12" s="10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84.75" customHeight="1">
      <c r="A13" s="10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84.75" customHeight="1">
      <c r="A14" s="10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84.75" customHeight="1">
      <c r="A15" s="10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10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10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10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10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10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1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10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10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10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10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10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1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1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1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1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1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1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1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1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1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1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1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1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1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1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1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1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1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1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1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1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1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1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1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1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1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1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1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1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1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1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1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1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1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1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1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1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1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1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1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1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