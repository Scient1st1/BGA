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1" sheetId="1" r:id="rId5"/>
    <sheet state="visible" name="Activity 3.2" sheetId="2" r:id="rId6"/>
    <sheet state="visible" name="Activity 3.3" sheetId="3" r:id="rId7"/>
  </sheets>
  <definedNames/>
  <calcPr/>
</workbook>
</file>

<file path=xl/sharedStrings.xml><?xml version="1.0" encoding="utf-8"?>
<sst xmlns="http://schemas.openxmlformats.org/spreadsheetml/2006/main" count="149" uniqueCount="106">
  <si>
    <t>Activity 3.3: Ifcity Zoo</t>
  </si>
  <si>
    <t>Activity 3.2: Test marks 2</t>
  </si>
  <si>
    <t>Activity 3.1: Test marks 1</t>
  </si>
  <si>
    <t>The table below gives the marks achieved by students in three tests.</t>
  </si>
  <si>
    <t>The table below lists the different species of animal found at Ifcity Zoo.</t>
  </si>
  <si>
    <t>The table below gives the marks achieved by students in two tests.</t>
  </si>
  <si>
    <t>Your task is to work out various facts about each animal and their popularity.</t>
  </si>
  <si>
    <t>Write a formula in cell E12 to calculate the total of the three test marks.</t>
  </si>
  <si>
    <t>Replicate this formula in cells E13 to E21 to calculate the totals for the other students.</t>
  </si>
  <si>
    <t>Write a formula in cell D12 to calculate the total of the two test marks.</t>
  </si>
  <si>
    <t>Replicate this formula in cells D13 to D36 to calculate the totals for the other students.</t>
  </si>
  <si>
    <t>Write an IF function in cell F12 to decide whether the student has passed or failed.  Try to use an absolute cell reference.</t>
  </si>
  <si>
    <t>Replicate this function in cells F13 to F21 to show whether the other students have passed or failed.</t>
  </si>
  <si>
    <t>Write functions in column D to calculate the total number of each type of animal.</t>
  </si>
  <si>
    <t>Name</t>
  </si>
  <si>
    <t>Write IF functions in column H to work out each animal's popularity. If they have more than 30 visitors per hour they are Popular. Otherwise, they are Standard.</t>
  </si>
  <si>
    <t>Write an IF function in cell E12 to decide whether the student has passed or failed.</t>
  </si>
  <si>
    <t>Test mark 1</t>
  </si>
  <si>
    <t>Test mark 2</t>
  </si>
  <si>
    <t>Replicate this function in cells E13 to E36 to show whether the other students have passed or failed.</t>
  </si>
  <si>
    <t>Test mark 3</t>
  </si>
  <si>
    <t>Total</t>
  </si>
  <si>
    <t>Pass/Fail</t>
  </si>
  <si>
    <t>Write COUNTIF functions in cells B36 to B39 to calculate the number of different species for each type of habitat.</t>
  </si>
  <si>
    <t>Rishi</t>
  </si>
  <si>
    <t>Write COUNTIF functions in cells B42 to B44 to calculate the number of different species for each conservation status.</t>
  </si>
  <si>
    <t>Test 1</t>
  </si>
  <si>
    <t>Write a COUNTA function in cell G35 to calculate the number of different species at the zoo.</t>
  </si>
  <si>
    <t>Test 2</t>
  </si>
  <si>
    <t>Pass or Fail</t>
  </si>
  <si>
    <t>Bradley</t>
  </si>
  <si>
    <t>Write a COUNT function in cell G36 to calculate the number of different species at the zoo with young.</t>
  </si>
  <si>
    <t>Write COUNTIF functions in cells G38 and G39 to calculate the number of Popular species and the number of Standard species.</t>
  </si>
  <si>
    <t>Christopher</t>
  </si>
  <si>
    <t>Write functions in cells G41 and G42 to determine the most visitors per hour and the least visitors per hour for any species.</t>
  </si>
  <si>
    <t>Clare</t>
  </si>
  <si>
    <t>Nuriye</t>
  </si>
  <si>
    <t>Species</t>
  </si>
  <si>
    <t>Number of adults</t>
  </si>
  <si>
    <t>Number of young</t>
  </si>
  <si>
    <t>Total animals</t>
  </si>
  <si>
    <t>Habitat</t>
  </si>
  <si>
    <t>Conservation status</t>
  </si>
  <si>
    <t>Visitors per hour</t>
  </si>
  <si>
    <t>William</t>
  </si>
  <si>
    <t>Popularity</t>
  </si>
  <si>
    <t>Giraffe</t>
  </si>
  <si>
    <t>Jeevan</t>
  </si>
  <si>
    <t>Savannah</t>
  </si>
  <si>
    <t>Vulnerable</t>
  </si>
  <si>
    <t>Sophie</t>
  </si>
  <si>
    <t>Freddie</t>
  </si>
  <si>
    <t>Rhinocerous</t>
  </si>
  <si>
    <t>Critically endangered</t>
  </si>
  <si>
    <t>Maya</t>
  </si>
  <si>
    <t>Zebra</t>
  </si>
  <si>
    <t>Pass mark</t>
  </si>
  <si>
    <t>Emu</t>
  </si>
  <si>
    <t>Owl</t>
  </si>
  <si>
    <t>Anna</t>
  </si>
  <si>
    <t>Forest</t>
  </si>
  <si>
    <t>Liam</t>
  </si>
  <si>
    <t>Gorilla</t>
  </si>
  <si>
    <t>Charlie</t>
  </si>
  <si>
    <t>Camel</t>
  </si>
  <si>
    <t>Elle</t>
  </si>
  <si>
    <t>Crocodile</t>
  </si>
  <si>
    <t>Eesa</t>
  </si>
  <si>
    <t>Swamp</t>
  </si>
  <si>
    <t>Sandeep</t>
  </si>
  <si>
    <t>Orang-Utan</t>
  </si>
  <si>
    <t>Cara</t>
  </si>
  <si>
    <t>Cheetah</t>
  </si>
  <si>
    <t>Mohammed</t>
  </si>
  <si>
    <t>Egret</t>
  </si>
  <si>
    <t>Louise</t>
  </si>
  <si>
    <t>Wetland</t>
  </si>
  <si>
    <t>Hannah</t>
  </si>
  <si>
    <t>Python</t>
  </si>
  <si>
    <t>Raphael</t>
  </si>
  <si>
    <t>Emily</t>
  </si>
  <si>
    <t>Flamingo</t>
  </si>
  <si>
    <t>Tirana</t>
  </si>
  <si>
    <t>Adam</t>
  </si>
  <si>
    <t>Pelican</t>
  </si>
  <si>
    <t>Billy</t>
  </si>
  <si>
    <t>Lion</t>
  </si>
  <si>
    <t>Endangered</t>
  </si>
  <si>
    <t>Tiger</t>
  </si>
  <si>
    <t>Write functions in the yellow cells below to calculate the average marks and the highest and lowest marks.</t>
  </si>
  <si>
    <t>Kangaroo</t>
  </si>
  <si>
    <t xml:space="preserve">Average mark for Test 1 </t>
  </si>
  <si>
    <t xml:space="preserve">Average mark for Test 2 </t>
  </si>
  <si>
    <t xml:space="preserve">Average total mark </t>
  </si>
  <si>
    <t>Number of species</t>
  </si>
  <si>
    <t>Number of different species</t>
  </si>
  <si>
    <t xml:space="preserve">Highest total mark </t>
  </si>
  <si>
    <t xml:space="preserve">Lowest total mark </t>
  </si>
  <si>
    <t>Number of species with young</t>
  </si>
  <si>
    <t>Write functions in the yellow cells below to count the number of students who have passed and failed.</t>
  </si>
  <si>
    <t xml:space="preserve">Number of students who passed </t>
  </si>
  <si>
    <t>Number of Popular species</t>
  </si>
  <si>
    <t xml:space="preserve">Number of students who failed </t>
  </si>
  <si>
    <t>Number of Standard species</t>
  </si>
  <si>
    <t>Most visitors per hour</t>
  </si>
  <si>
    <t>Least visitors per 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</si>
</sst>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Calibri"/>
      <scheme val="minor"/>
    </font>
    <font>
      <sz val="20.0"/>
      <color rgb="FF000000"/>
      <name val="Calibri"/>
    </font>
    <font>
      <sz val="12.0"/>
      <color rgb="FF000000"/>
      <name val="Calibri"/>
    </font>
    <font>
      <sz val="12.0"/>
      <color rgb="FFC55A1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rgb="FF00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center"/>
    </xf>
    <xf borderId="1" fillId="2" fontId="5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0" fillId="0" fontId="7" numFmtId="0" xfId="0" applyFont="1"/>
    <xf borderId="1" fillId="8" fontId="2" numFmtId="0" xfId="0" applyBorder="1" applyFill="1" applyFont="1"/>
    <xf borderId="0" fillId="0" fontId="5" numFmtId="0" xfId="0" applyAlignment="1" applyFont="1">
      <alignment horizontal="center"/>
    </xf>
    <xf borderId="1" fillId="9" fontId="4" numFmtId="0" xfId="0" applyAlignment="1" applyBorder="1" applyFill="1" applyFont="1">
      <alignment horizontal="center"/>
    </xf>
    <xf borderId="1" fillId="9" fontId="5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1" fillId="9" fontId="7" numFmtId="0" xfId="0" applyBorder="1" applyFill="1" applyFont="1"/>
    <xf borderId="1" fillId="9" fontId="2" numFmtId="0" xfId="0" applyAlignment="1" applyBorder="1" applyFill="1" applyFont="1">
      <alignment horizontal="left"/>
    </xf>
    <xf borderId="0" fillId="0" fontId="7" numFmtId="0" xfId="0" applyAlignment="1" applyFont="1">
      <alignment horizontal="right"/>
    </xf>
    <xf borderId="5" fillId="0" fontId="8" numFmtId="0" xfId="0" applyBorder="1" applyFont="1"/>
    <xf borderId="6" fillId="0" fontId="7" numFmtId="0" xfId="0" applyAlignment="1" applyBorder="1" applyFont="1">
      <alignment horizontal="right"/>
    </xf>
    <xf borderId="3" fillId="0" fontId="8" numFmtId="0" xfId="0" applyBorder="1" applyFont="1"/>
    <xf borderId="1" fillId="8" fontId="2" numFmtId="0" xfId="0" applyAlignment="1" applyBorder="1" applyFill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4" width="12.33"/>
    <col customWidth="1" min="5" max="26" width="11.11"/>
  </cols>
  <sheetData>
    <row r="1">
      <c r="A1" s="1" t="s">
        <v>2</v>
      </c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</v>
      </c>
      <c r="Z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Z5" s="4"/>
    </row>
    <row r="6">
      <c r="A6" s="4" t="s">
        <v>8</v>
      </c>
      <c r="Z6" s="4"/>
    </row>
    <row r="7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11</v>
      </c>
      <c r="Z8" s="4"/>
    </row>
    <row r="9">
      <c r="A9" s="4" t="s">
        <v>12</v>
      </c>
      <c r="Z9" s="4"/>
    </row>
    <row r="1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14</v>
      </c>
      <c r="B11" s="7" t="s">
        <v>17</v>
      </c>
      <c r="C11" s="7" t="s">
        <v>18</v>
      </c>
      <c r="D11" s="7" t="s">
        <v>20</v>
      </c>
      <c r="E11" s="7" t="s">
        <v>21</v>
      </c>
      <c r="F11" s="7" t="s">
        <v>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</row>
    <row r="12">
      <c r="A12" s="9" t="s">
        <v>24</v>
      </c>
      <c r="B12" s="9">
        <v>79.0</v>
      </c>
      <c r="C12" s="9">
        <v>68.0</v>
      </c>
      <c r="D12" s="9">
        <v>88.0</v>
      </c>
      <c r="E12" s="10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3"/>
    </row>
    <row r="13">
      <c r="A13" s="9" t="s">
        <v>30</v>
      </c>
      <c r="B13" s="9">
        <v>99.0</v>
      </c>
      <c r="C13" s="9">
        <v>63.0</v>
      </c>
      <c r="D13" s="9">
        <v>16.0</v>
      </c>
      <c r="E13" s="10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3"/>
    </row>
    <row r="14">
      <c r="A14" s="9" t="s">
        <v>33</v>
      </c>
      <c r="B14" s="9">
        <v>26.0</v>
      </c>
      <c r="C14" s="9">
        <v>96.0</v>
      </c>
      <c r="D14" s="9">
        <v>15.0</v>
      </c>
      <c r="E14" s="10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3"/>
    </row>
    <row r="15">
      <c r="A15" s="9" t="s">
        <v>35</v>
      </c>
      <c r="B15" s="9">
        <v>71.0</v>
      </c>
      <c r="C15" s="9">
        <v>44.0</v>
      </c>
      <c r="D15" s="9">
        <v>32.0</v>
      </c>
      <c r="E15" s="10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3"/>
    </row>
    <row r="16">
      <c r="A16" s="19" t="s">
        <v>36</v>
      </c>
      <c r="B16" s="9">
        <v>83.0</v>
      </c>
      <c r="C16" s="9">
        <v>25.0</v>
      </c>
      <c r="D16" s="9">
        <v>62.0</v>
      </c>
      <c r="E16" s="10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3"/>
    </row>
    <row r="17">
      <c r="A17" s="9" t="s">
        <v>44</v>
      </c>
      <c r="B17" s="9">
        <v>8.0</v>
      </c>
      <c r="C17" s="9">
        <v>71.0</v>
      </c>
      <c r="D17" s="9">
        <v>4.0</v>
      </c>
      <c r="E17" s="10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3"/>
    </row>
    <row r="18">
      <c r="A18" s="9" t="s">
        <v>47</v>
      </c>
      <c r="B18" s="9">
        <v>34.0</v>
      </c>
      <c r="C18" s="9">
        <v>34.0</v>
      </c>
      <c r="D18" s="9">
        <v>65.0</v>
      </c>
      <c r="E18" s="10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3"/>
    </row>
    <row r="19">
      <c r="A19" s="9" t="s">
        <v>50</v>
      </c>
      <c r="B19" s="9">
        <v>86.0</v>
      </c>
      <c r="C19" s="9">
        <v>94.0</v>
      </c>
      <c r="D19" s="9">
        <v>28.0</v>
      </c>
      <c r="E19" s="10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3"/>
    </row>
    <row r="20">
      <c r="A20" s="9" t="s">
        <v>51</v>
      </c>
      <c r="B20" s="9">
        <v>63.0</v>
      </c>
      <c r="C20" s="9">
        <v>76.0</v>
      </c>
      <c r="D20" s="9">
        <v>35.0</v>
      </c>
      <c r="E20" s="10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3"/>
    </row>
    <row r="21" ht="15.75" customHeight="1">
      <c r="A21" s="9" t="s">
        <v>54</v>
      </c>
      <c r="B21" s="9">
        <v>13.0</v>
      </c>
      <c r="C21" s="9">
        <v>33.0</v>
      </c>
      <c r="D21" s="9">
        <v>64.0</v>
      </c>
      <c r="E21" s="10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3"/>
    </row>
    <row r="22" ht="15.75" customHeight="1">
      <c r="A22" s="26"/>
      <c r="B22" s="26"/>
      <c r="C22" s="26"/>
      <c r="D22" s="26"/>
      <c r="E22" s="26"/>
      <c r="F22" s="26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3"/>
    </row>
    <row r="23" ht="15.75" customHeight="1">
      <c r="A23" s="27" t="s">
        <v>56</v>
      </c>
      <c r="B23" s="28">
        <v>170.0</v>
      </c>
      <c r="C23" s="26"/>
      <c r="D23" s="26"/>
      <c r="E23" s="26"/>
      <c r="F23" s="26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3"/>
    </row>
    <row r="24" ht="15.75" customHeight="1">
      <c r="A24" s="26"/>
      <c r="B24" s="26"/>
      <c r="C24" s="26"/>
      <c r="D24" s="26"/>
      <c r="E24" s="26"/>
      <c r="F24" s="2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3"/>
    </row>
    <row r="25" ht="15.75" customHeight="1">
      <c r="A25" s="26"/>
      <c r="B25" s="26"/>
      <c r="C25" s="26"/>
      <c r="D25" s="26"/>
      <c r="E25" s="26"/>
      <c r="F25" s="26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3"/>
    </row>
    <row r="26" ht="15.75" customHeight="1">
      <c r="A26" s="26"/>
      <c r="B26" s="26"/>
      <c r="C26" s="26"/>
      <c r="D26" s="26"/>
      <c r="E26" s="26"/>
      <c r="F26" s="26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3"/>
    </row>
    <row r="27" ht="15.75" customHeight="1">
      <c r="A27" s="26"/>
      <c r="B27" s="26"/>
      <c r="C27" s="26"/>
      <c r="D27" s="26"/>
      <c r="E27" s="26"/>
      <c r="F27" s="26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3"/>
    </row>
    <row r="28" ht="15.75" customHeight="1">
      <c r="A28" s="26"/>
      <c r="B28" s="26"/>
      <c r="C28" s="26"/>
      <c r="D28" s="26"/>
      <c r="E28" s="26"/>
      <c r="F28" s="26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3"/>
    </row>
    <row r="29" ht="15.75" customHeight="1">
      <c r="A29" s="26"/>
      <c r="B29" s="26"/>
      <c r="C29" s="26"/>
      <c r="D29" s="26"/>
      <c r="E29" s="26"/>
      <c r="F29" s="2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3"/>
    </row>
    <row r="30" ht="15.75" customHeight="1">
      <c r="A30" s="26"/>
      <c r="B30" s="26"/>
      <c r="C30" s="26"/>
      <c r="D30" s="26"/>
      <c r="E30" s="26"/>
      <c r="F30" s="2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3"/>
    </row>
    <row r="31" ht="15.75" customHeight="1">
      <c r="A31" s="26"/>
      <c r="B31" s="26"/>
      <c r="C31" s="26"/>
      <c r="D31" s="26"/>
      <c r="E31" s="26"/>
      <c r="F31" s="26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3"/>
    </row>
    <row r="32" ht="15.75" customHeight="1">
      <c r="A32" s="26"/>
      <c r="B32" s="26"/>
      <c r="C32" s="26"/>
      <c r="D32" s="26"/>
      <c r="E32" s="26"/>
      <c r="F32" s="26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3"/>
    </row>
    <row r="33" ht="15.75" customHeight="1">
      <c r="A33" s="26"/>
      <c r="B33" s="26"/>
      <c r="C33" s="26"/>
      <c r="D33" s="26"/>
      <c r="E33" s="26"/>
      <c r="F33" s="26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3"/>
    </row>
    <row r="34" ht="15.75" customHeight="1">
      <c r="A34" s="26"/>
      <c r="B34" s="26"/>
      <c r="C34" s="26"/>
      <c r="D34" s="26"/>
      <c r="E34" s="26"/>
      <c r="F34" s="26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3"/>
    </row>
    <row r="35" ht="15.75" customHeight="1">
      <c r="A35" s="26"/>
      <c r="B35" s="26"/>
      <c r="C35" s="26"/>
      <c r="D35" s="26"/>
      <c r="E35" s="26"/>
      <c r="F35" s="26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3"/>
    </row>
    <row r="36" ht="15.75" customHeight="1">
      <c r="A36" s="26"/>
      <c r="B36" s="26"/>
      <c r="C36" s="26"/>
      <c r="D36" s="26"/>
      <c r="E36" s="26"/>
      <c r="F36" s="26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3"/>
    </row>
    <row r="37" ht="15.75" customHeight="1">
      <c r="A37" s="26"/>
      <c r="B37" s="26"/>
      <c r="C37" s="26"/>
      <c r="D37" s="26"/>
      <c r="E37" s="26"/>
      <c r="F37" s="26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3"/>
    </row>
    <row r="38" ht="15.75" customHeight="1">
      <c r="A38" s="26"/>
      <c r="B38" s="26"/>
      <c r="C38" s="26"/>
      <c r="D38" s="26"/>
      <c r="E38" s="26"/>
      <c r="F38" s="26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3"/>
    </row>
    <row r="39" ht="15.75" customHeight="1">
      <c r="A39" s="26"/>
      <c r="B39" s="26"/>
      <c r="C39" s="26"/>
      <c r="D39" s="26"/>
      <c r="E39" s="26"/>
      <c r="F39" s="26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3"/>
    </row>
    <row r="40" ht="15.75" customHeight="1">
      <c r="A40" s="26"/>
      <c r="B40" s="26"/>
      <c r="C40" s="26"/>
      <c r="D40" s="26"/>
      <c r="E40" s="26"/>
      <c r="F40" s="26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3"/>
    </row>
    <row r="41" ht="15.75" customHeight="1">
      <c r="A41" s="26"/>
      <c r="B41" s="26"/>
      <c r="C41" s="26"/>
      <c r="D41" s="26"/>
      <c r="E41" s="26"/>
      <c r="F41" s="26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3"/>
    </row>
    <row r="42" ht="15.75" customHeight="1">
      <c r="A42" s="26"/>
      <c r="B42" s="26"/>
      <c r="C42" s="26"/>
      <c r="D42" s="26"/>
      <c r="E42" s="26"/>
      <c r="F42" s="26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3"/>
    </row>
    <row r="43" ht="15.75" customHeight="1">
      <c r="A43" s="26"/>
      <c r="B43" s="26"/>
      <c r="C43" s="26"/>
      <c r="D43" s="26"/>
      <c r="E43" s="26"/>
      <c r="F43" s="26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3"/>
    </row>
    <row r="44" ht="15.75" customHeight="1">
      <c r="A44" s="26"/>
      <c r="B44" s="26"/>
      <c r="C44" s="26"/>
      <c r="D44" s="26"/>
      <c r="E44" s="26"/>
      <c r="F44" s="26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3"/>
    </row>
    <row r="45" ht="15.75" customHeight="1">
      <c r="A45" s="26"/>
      <c r="B45" s="26"/>
      <c r="C45" s="26"/>
      <c r="D45" s="26"/>
      <c r="E45" s="26"/>
      <c r="F45" s="26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3"/>
    </row>
    <row r="46" ht="15.75" customHeight="1">
      <c r="A46" s="26"/>
      <c r="B46" s="26"/>
      <c r="C46" s="26"/>
      <c r="D46" s="26"/>
      <c r="E46" s="26"/>
      <c r="F46" s="26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3"/>
    </row>
    <row r="47" ht="15.75" customHeight="1">
      <c r="A47" s="26"/>
      <c r="B47" s="26"/>
      <c r="C47" s="26"/>
      <c r="D47" s="26"/>
      <c r="E47" s="26"/>
      <c r="F47" s="26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3"/>
    </row>
    <row r="48" ht="15.75" customHeight="1">
      <c r="A48" s="26"/>
      <c r="B48" s="26"/>
      <c r="C48" s="26"/>
      <c r="D48" s="26"/>
      <c r="E48" s="26"/>
      <c r="F48" s="26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3"/>
    </row>
    <row r="49" ht="15.75" customHeight="1">
      <c r="A49" s="26"/>
      <c r="B49" s="26"/>
      <c r="C49" s="26"/>
      <c r="D49" s="26"/>
      <c r="E49" s="26"/>
      <c r="F49" s="2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3"/>
    </row>
    <row r="50" ht="15.75" customHeight="1">
      <c r="A50" s="26"/>
      <c r="B50" s="26"/>
      <c r="C50" s="26"/>
      <c r="D50" s="26"/>
      <c r="E50" s="26"/>
      <c r="F50" s="26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3"/>
    </row>
    <row r="51" ht="15.75" customHeight="1">
      <c r="A51" s="26"/>
      <c r="B51" s="26"/>
      <c r="C51" s="26"/>
      <c r="D51" s="26"/>
      <c r="E51" s="26"/>
      <c r="F51" s="26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3"/>
    </row>
    <row r="52" ht="15.75" customHeight="1">
      <c r="A52" s="26"/>
      <c r="B52" s="26"/>
      <c r="C52" s="26"/>
      <c r="D52" s="26"/>
      <c r="E52" s="26"/>
      <c r="F52" s="26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3"/>
    </row>
    <row r="53" ht="15.75" customHeight="1">
      <c r="A53" s="26"/>
      <c r="B53" s="26"/>
      <c r="C53" s="26"/>
      <c r="D53" s="26"/>
      <c r="E53" s="26"/>
      <c r="F53" s="26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3"/>
    </row>
    <row r="54" ht="15.75" customHeight="1">
      <c r="A54" s="26"/>
      <c r="B54" s="26"/>
      <c r="C54" s="26"/>
      <c r="D54" s="26"/>
      <c r="E54" s="26"/>
      <c r="F54" s="26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3"/>
    </row>
    <row r="55" ht="15.75" customHeight="1">
      <c r="A55" s="26"/>
      <c r="B55" s="26"/>
      <c r="C55" s="26"/>
      <c r="D55" s="26"/>
      <c r="E55" s="26"/>
      <c r="F55" s="26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3"/>
    </row>
    <row r="56" ht="15.75" customHeight="1">
      <c r="A56" s="26"/>
      <c r="B56" s="26"/>
      <c r="C56" s="26"/>
      <c r="D56" s="26"/>
      <c r="E56" s="26"/>
      <c r="F56" s="26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3"/>
    </row>
    <row r="57" ht="15.75" customHeight="1">
      <c r="A57" s="26"/>
      <c r="B57" s="26"/>
      <c r="C57" s="26"/>
      <c r="D57" s="26"/>
      <c r="E57" s="26"/>
      <c r="F57" s="26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3"/>
    </row>
    <row r="58" ht="15.75" customHeight="1">
      <c r="A58" s="26"/>
      <c r="B58" s="26"/>
      <c r="C58" s="26"/>
      <c r="D58" s="26"/>
      <c r="E58" s="26"/>
      <c r="F58" s="26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3"/>
    </row>
    <row r="59" ht="15.75" customHeight="1">
      <c r="A59" s="26"/>
      <c r="B59" s="26"/>
      <c r="C59" s="26"/>
      <c r="D59" s="26"/>
      <c r="E59" s="26"/>
      <c r="F59" s="26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3"/>
    </row>
    <row r="60" ht="15.75" customHeight="1">
      <c r="A60" s="26"/>
      <c r="B60" s="26"/>
      <c r="C60" s="26"/>
      <c r="D60" s="26"/>
      <c r="E60" s="26"/>
      <c r="F60" s="26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3"/>
    </row>
    <row r="61" ht="15.75" customHeight="1">
      <c r="A61" s="26"/>
      <c r="B61" s="26"/>
      <c r="C61" s="26"/>
      <c r="D61" s="26"/>
      <c r="E61" s="26"/>
      <c r="F61" s="26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3"/>
    </row>
    <row r="62" ht="15.75" customHeight="1">
      <c r="A62" s="26"/>
      <c r="B62" s="26"/>
      <c r="C62" s="26"/>
      <c r="D62" s="26"/>
      <c r="E62" s="26"/>
      <c r="F62" s="26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3"/>
    </row>
    <row r="63" ht="15.75" customHeight="1">
      <c r="A63" s="26"/>
      <c r="B63" s="26"/>
      <c r="C63" s="26"/>
      <c r="D63" s="26"/>
      <c r="E63" s="26"/>
      <c r="F63" s="26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3"/>
    </row>
    <row r="64" ht="15.75" customHeight="1">
      <c r="A64" s="26"/>
      <c r="B64" s="26"/>
      <c r="C64" s="26"/>
      <c r="D64" s="26"/>
      <c r="E64" s="26"/>
      <c r="F64" s="26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3"/>
    </row>
    <row r="65" ht="15.75" customHeight="1">
      <c r="A65" s="26"/>
      <c r="B65" s="26"/>
      <c r="C65" s="26"/>
      <c r="D65" s="26"/>
      <c r="E65" s="26"/>
      <c r="F65" s="2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3"/>
    </row>
    <row r="66" ht="15.75" customHeight="1">
      <c r="A66" s="26"/>
      <c r="B66" s="26"/>
      <c r="C66" s="26"/>
      <c r="D66" s="26"/>
      <c r="E66" s="26"/>
      <c r="F66" s="26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3"/>
    </row>
    <row r="67" ht="15.75" customHeight="1">
      <c r="A67" s="26"/>
      <c r="B67" s="26"/>
      <c r="C67" s="26"/>
      <c r="D67" s="26"/>
      <c r="E67" s="26"/>
      <c r="F67" s="26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3"/>
    </row>
    <row r="68" ht="15.75" customHeight="1">
      <c r="A68" s="26"/>
      <c r="B68" s="26"/>
      <c r="C68" s="26"/>
      <c r="D68" s="26"/>
      <c r="E68" s="26"/>
      <c r="F68" s="26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3"/>
    </row>
    <row r="69" ht="15.75" customHeight="1">
      <c r="A69" s="26"/>
      <c r="B69" s="26"/>
      <c r="C69" s="26"/>
      <c r="D69" s="26"/>
      <c r="E69" s="26"/>
      <c r="F69" s="26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3"/>
    </row>
    <row r="70" ht="15.75" customHeight="1">
      <c r="A70" s="26"/>
      <c r="B70" s="26"/>
      <c r="C70" s="26"/>
      <c r="D70" s="26"/>
      <c r="E70" s="26"/>
      <c r="F70" s="26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3"/>
    </row>
    <row r="71" ht="15.75" customHeight="1">
      <c r="A71" s="26"/>
      <c r="B71" s="26"/>
      <c r="C71" s="26"/>
      <c r="D71" s="26"/>
      <c r="E71" s="26"/>
      <c r="F71" s="26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3"/>
    </row>
    <row r="72" ht="15.75" customHeight="1">
      <c r="A72" s="26"/>
      <c r="B72" s="26"/>
      <c r="C72" s="26"/>
      <c r="D72" s="26"/>
      <c r="E72" s="26"/>
      <c r="F72" s="26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3"/>
    </row>
    <row r="73" ht="15.75" customHeight="1">
      <c r="A73" s="26"/>
      <c r="B73" s="26"/>
      <c r="C73" s="26"/>
      <c r="D73" s="26"/>
      <c r="E73" s="26"/>
      <c r="F73" s="2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3"/>
    </row>
    <row r="74" ht="15.75" customHeight="1">
      <c r="A74" s="26"/>
      <c r="B74" s="26"/>
      <c r="C74" s="26"/>
      <c r="D74" s="26"/>
      <c r="E74" s="26"/>
      <c r="F74" s="26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3"/>
    </row>
    <row r="75" ht="15.75" customHeight="1">
      <c r="A75" s="26"/>
      <c r="B75" s="26"/>
      <c r="C75" s="26"/>
      <c r="D75" s="26"/>
      <c r="E75" s="26"/>
      <c r="F75" s="26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3"/>
    </row>
    <row r="76" ht="15.75" customHeight="1">
      <c r="A76" s="26"/>
      <c r="B76" s="26"/>
      <c r="C76" s="26"/>
      <c r="D76" s="26"/>
      <c r="E76" s="26"/>
      <c r="F76" s="26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3"/>
    </row>
    <row r="77" ht="15.75" customHeight="1">
      <c r="A77" s="26"/>
      <c r="B77" s="26"/>
      <c r="C77" s="26"/>
      <c r="D77" s="26"/>
      <c r="E77" s="26"/>
      <c r="F77" s="26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3"/>
    </row>
    <row r="78" ht="15.75" customHeight="1">
      <c r="A78" s="26"/>
      <c r="B78" s="26"/>
      <c r="C78" s="26"/>
      <c r="D78" s="26"/>
      <c r="E78" s="26"/>
      <c r="F78" s="26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3"/>
    </row>
    <row r="79" ht="15.75" customHeight="1">
      <c r="A79" s="26"/>
      <c r="B79" s="26"/>
      <c r="C79" s="26"/>
      <c r="D79" s="26"/>
      <c r="E79" s="26"/>
      <c r="F79" s="26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3"/>
    </row>
    <row r="80" ht="15.75" customHeight="1">
      <c r="A80" s="26"/>
      <c r="B80" s="26"/>
      <c r="C80" s="26"/>
      <c r="D80" s="26"/>
      <c r="E80" s="26"/>
      <c r="F80" s="26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3"/>
    </row>
    <row r="81" ht="15.75" customHeight="1">
      <c r="A81" s="26"/>
      <c r="B81" s="26"/>
      <c r="C81" s="26"/>
      <c r="D81" s="26"/>
      <c r="E81" s="26"/>
      <c r="F81" s="26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3"/>
    </row>
    <row r="82" ht="15.75" customHeight="1">
      <c r="A82" s="26"/>
      <c r="B82" s="26"/>
      <c r="C82" s="26"/>
      <c r="D82" s="26"/>
      <c r="E82" s="26"/>
      <c r="F82" s="26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3"/>
    </row>
    <row r="83" ht="15.75" customHeight="1">
      <c r="A83" s="26"/>
      <c r="B83" s="26"/>
      <c r="C83" s="26"/>
      <c r="D83" s="26"/>
      <c r="E83" s="26"/>
      <c r="F83" s="26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3"/>
    </row>
    <row r="84" ht="15.75" customHeight="1">
      <c r="A84" s="26"/>
      <c r="B84" s="26"/>
      <c r="C84" s="26"/>
      <c r="D84" s="26"/>
      <c r="E84" s="26"/>
      <c r="F84" s="2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3"/>
    </row>
    <row r="85" ht="15.75" customHeight="1">
      <c r="A85" s="26"/>
      <c r="B85" s="26"/>
      <c r="C85" s="26"/>
      <c r="D85" s="26"/>
      <c r="E85" s="26"/>
      <c r="F85" s="2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3"/>
    </row>
    <row r="86" ht="15.75" customHeight="1">
      <c r="A86" s="26"/>
      <c r="B86" s="26"/>
      <c r="C86" s="26"/>
      <c r="D86" s="26"/>
      <c r="E86" s="26"/>
      <c r="F86" s="26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3"/>
    </row>
    <row r="87" ht="15.75" customHeight="1">
      <c r="A87" s="26"/>
      <c r="B87" s="26"/>
      <c r="C87" s="26"/>
      <c r="D87" s="26"/>
      <c r="E87" s="26"/>
      <c r="F87" s="2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3"/>
    </row>
    <row r="88" ht="15.75" customHeight="1">
      <c r="A88" s="26"/>
      <c r="B88" s="26"/>
      <c r="C88" s="26"/>
      <c r="D88" s="26"/>
      <c r="E88" s="26"/>
      <c r="F88" s="2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3"/>
    </row>
    <row r="89" ht="15.75" customHeight="1">
      <c r="A89" s="26"/>
      <c r="B89" s="26"/>
      <c r="C89" s="26"/>
      <c r="D89" s="26"/>
      <c r="E89" s="26"/>
      <c r="F89" s="2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3"/>
    </row>
    <row r="90" ht="15.75" customHeight="1">
      <c r="A90" s="26"/>
      <c r="B90" s="26"/>
      <c r="C90" s="26"/>
      <c r="D90" s="26"/>
      <c r="E90" s="26"/>
      <c r="F90" s="2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3"/>
    </row>
    <row r="91" ht="15.75" customHeight="1">
      <c r="A91" s="26"/>
      <c r="B91" s="26"/>
      <c r="C91" s="26"/>
      <c r="D91" s="26"/>
      <c r="E91" s="26"/>
      <c r="F91" s="2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3"/>
    </row>
    <row r="92" ht="15.75" customHeight="1">
      <c r="A92" s="26"/>
      <c r="B92" s="26"/>
      <c r="C92" s="26"/>
      <c r="D92" s="26"/>
      <c r="E92" s="26"/>
      <c r="F92" s="2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3"/>
    </row>
    <row r="93" ht="15.75" customHeight="1">
      <c r="A93" s="26"/>
      <c r="B93" s="26"/>
      <c r="C93" s="26"/>
      <c r="D93" s="26"/>
      <c r="E93" s="26"/>
      <c r="F93" s="2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3"/>
    </row>
    <row r="94" ht="15.75" customHeight="1">
      <c r="A94" s="26"/>
      <c r="B94" s="26"/>
      <c r="C94" s="26"/>
      <c r="D94" s="26"/>
      <c r="E94" s="26"/>
      <c r="F94" s="2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3"/>
    </row>
    <row r="95" ht="15.75" customHeight="1">
      <c r="A95" s="26"/>
      <c r="B95" s="26"/>
      <c r="C95" s="26"/>
      <c r="D95" s="26"/>
      <c r="E95" s="26"/>
      <c r="F95" s="2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3"/>
    </row>
    <row r="96" ht="15.75" customHeight="1">
      <c r="A96" s="26"/>
      <c r="B96" s="26"/>
      <c r="C96" s="26"/>
      <c r="D96" s="26"/>
      <c r="E96" s="26"/>
      <c r="F96" s="2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3"/>
    </row>
    <row r="97" ht="15.75" customHeight="1">
      <c r="A97" s="26"/>
      <c r="B97" s="26"/>
      <c r="C97" s="26"/>
      <c r="D97" s="26"/>
      <c r="E97" s="26"/>
      <c r="F97" s="2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3"/>
    </row>
    <row r="98" ht="15.75" customHeight="1">
      <c r="A98" s="26"/>
      <c r="B98" s="26"/>
      <c r="C98" s="26"/>
      <c r="D98" s="26"/>
      <c r="E98" s="26"/>
      <c r="F98" s="2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3"/>
    </row>
    <row r="99" ht="15.75" customHeight="1">
      <c r="A99" s="26"/>
      <c r="B99" s="26"/>
      <c r="C99" s="26"/>
      <c r="D99" s="26"/>
      <c r="E99" s="26"/>
      <c r="F99" s="2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3"/>
    </row>
    <row r="100" ht="15.75" customHeight="1">
      <c r="A100" s="26"/>
      <c r="B100" s="26"/>
      <c r="C100" s="26"/>
      <c r="D100" s="26"/>
      <c r="E100" s="26"/>
      <c r="F100" s="2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3"/>
    </row>
    <row r="101" ht="15.75" customHeight="1">
      <c r="A101" s="26"/>
      <c r="B101" s="26"/>
      <c r="C101" s="26"/>
      <c r="D101" s="26"/>
      <c r="E101" s="26"/>
      <c r="F101" s="26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3"/>
    </row>
    <row r="102" ht="15.75" customHeight="1">
      <c r="A102" s="26"/>
      <c r="B102" s="26"/>
      <c r="C102" s="26"/>
      <c r="D102" s="26"/>
      <c r="E102" s="26"/>
      <c r="F102" s="26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3"/>
    </row>
    <row r="103" ht="15.75" customHeight="1">
      <c r="A103" s="26"/>
      <c r="B103" s="26"/>
      <c r="C103" s="26"/>
      <c r="D103" s="26"/>
      <c r="E103" s="26"/>
      <c r="F103" s="2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3"/>
    </row>
    <row r="104" ht="15.75" customHeight="1">
      <c r="A104" s="26"/>
      <c r="B104" s="26"/>
      <c r="C104" s="26"/>
      <c r="D104" s="26"/>
      <c r="E104" s="26"/>
      <c r="F104" s="2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3"/>
    </row>
    <row r="105" ht="15.75" customHeight="1">
      <c r="A105" s="26"/>
      <c r="B105" s="26"/>
      <c r="C105" s="26"/>
      <c r="D105" s="26"/>
      <c r="E105" s="26"/>
      <c r="F105" s="26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3"/>
    </row>
    <row r="106" ht="15.75" customHeight="1">
      <c r="A106" s="26"/>
      <c r="B106" s="26"/>
      <c r="C106" s="26"/>
      <c r="D106" s="26"/>
      <c r="E106" s="26"/>
      <c r="F106" s="26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3"/>
    </row>
    <row r="107" ht="15.75" customHeight="1">
      <c r="A107" s="26"/>
      <c r="B107" s="26"/>
      <c r="C107" s="26"/>
      <c r="D107" s="26"/>
      <c r="E107" s="26"/>
      <c r="F107" s="26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3"/>
    </row>
    <row r="108" ht="15.75" customHeight="1">
      <c r="A108" s="26"/>
      <c r="B108" s="26"/>
      <c r="C108" s="26"/>
      <c r="D108" s="26"/>
      <c r="E108" s="26"/>
      <c r="F108" s="26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3"/>
    </row>
    <row r="109" ht="15.75" customHeight="1">
      <c r="A109" s="26"/>
      <c r="B109" s="26"/>
      <c r="C109" s="26"/>
      <c r="D109" s="26"/>
      <c r="E109" s="26"/>
      <c r="F109" s="26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3"/>
    </row>
    <row r="110" ht="15.75" customHeight="1">
      <c r="A110" s="26"/>
      <c r="B110" s="26"/>
      <c r="C110" s="26"/>
      <c r="D110" s="26"/>
      <c r="E110" s="26"/>
      <c r="F110" s="26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3"/>
    </row>
    <row r="111" ht="15.75" customHeight="1">
      <c r="A111" s="26"/>
      <c r="B111" s="26"/>
      <c r="C111" s="26"/>
      <c r="D111" s="26"/>
      <c r="E111" s="26"/>
      <c r="F111" s="26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3"/>
    </row>
    <row r="112" ht="15.75" customHeight="1">
      <c r="A112" s="26"/>
      <c r="B112" s="26"/>
      <c r="C112" s="26"/>
      <c r="D112" s="26"/>
      <c r="E112" s="26"/>
      <c r="F112" s="26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3"/>
    </row>
    <row r="113" ht="15.75" customHeight="1">
      <c r="A113" s="26"/>
      <c r="B113" s="26"/>
      <c r="C113" s="26"/>
      <c r="D113" s="26"/>
      <c r="E113" s="26"/>
      <c r="F113" s="2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3"/>
    </row>
    <row r="114" ht="15.75" customHeight="1">
      <c r="A114" s="26"/>
      <c r="B114" s="26"/>
      <c r="C114" s="26"/>
      <c r="D114" s="26"/>
      <c r="E114" s="26"/>
      <c r="F114" s="26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3"/>
    </row>
    <row r="115" ht="15.75" customHeight="1">
      <c r="A115" s="26"/>
      <c r="B115" s="26"/>
      <c r="C115" s="26"/>
      <c r="D115" s="26"/>
      <c r="E115" s="26"/>
      <c r="F115" s="26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3"/>
    </row>
    <row r="116" ht="15.75" customHeight="1">
      <c r="A116" s="26"/>
      <c r="B116" s="26"/>
      <c r="C116" s="26"/>
      <c r="D116" s="26"/>
      <c r="E116" s="26"/>
      <c r="F116" s="26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3"/>
    </row>
    <row r="117" ht="15.75" customHeight="1">
      <c r="A117" s="26"/>
      <c r="B117" s="26"/>
      <c r="C117" s="26"/>
      <c r="D117" s="26"/>
      <c r="E117" s="26"/>
      <c r="F117" s="26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3"/>
    </row>
    <row r="118" ht="15.75" customHeight="1">
      <c r="A118" s="26"/>
      <c r="B118" s="26"/>
      <c r="C118" s="26"/>
      <c r="D118" s="26"/>
      <c r="E118" s="26"/>
      <c r="F118" s="2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3"/>
    </row>
    <row r="119" ht="15.75" customHeight="1">
      <c r="A119" s="26"/>
      <c r="B119" s="26"/>
      <c r="C119" s="26"/>
      <c r="D119" s="26"/>
      <c r="E119" s="26"/>
      <c r="F119" s="2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3"/>
    </row>
    <row r="120" ht="15.75" customHeight="1">
      <c r="A120" s="26"/>
      <c r="B120" s="26"/>
      <c r="C120" s="26"/>
      <c r="D120" s="26"/>
      <c r="E120" s="26"/>
      <c r="F120" s="2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3"/>
    </row>
    <row r="121" ht="15.75" customHeight="1">
      <c r="A121" s="26"/>
      <c r="B121" s="26"/>
      <c r="C121" s="26"/>
      <c r="D121" s="26"/>
      <c r="E121" s="26"/>
      <c r="F121" s="26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3"/>
    </row>
    <row r="122" ht="15.75" customHeight="1">
      <c r="A122" s="26"/>
      <c r="B122" s="26"/>
      <c r="C122" s="26"/>
      <c r="D122" s="26"/>
      <c r="E122" s="26"/>
      <c r="F122" s="26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3"/>
    </row>
    <row r="123" ht="15.75" customHeight="1">
      <c r="A123" s="26"/>
      <c r="B123" s="26"/>
      <c r="C123" s="26"/>
      <c r="D123" s="26"/>
      <c r="E123" s="26"/>
      <c r="F123" s="26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3"/>
    </row>
    <row r="124" ht="15.75" customHeight="1">
      <c r="A124" s="26"/>
      <c r="B124" s="26"/>
      <c r="C124" s="26"/>
      <c r="D124" s="26"/>
      <c r="E124" s="26"/>
      <c r="F124" s="26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3"/>
    </row>
    <row r="125" ht="15.75" customHeight="1">
      <c r="A125" s="26"/>
      <c r="B125" s="26"/>
      <c r="C125" s="26"/>
      <c r="D125" s="26"/>
      <c r="E125" s="26"/>
      <c r="F125" s="26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3"/>
    </row>
    <row r="126" ht="15.75" customHeight="1">
      <c r="A126" s="26"/>
      <c r="B126" s="26"/>
      <c r="C126" s="26"/>
      <c r="D126" s="26"/>
      <c r="E126" s="26"/>
      <c r="F126" s="26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3"/>
    </row>
    <row r="127" ht="15.75" customHeight="1">
      <c r="A127" s="26"/>
      <c r="B127" s="26"/>
      <c r="C127" s="26"/>
      <c r="D127" s="26"/>
      <c r="E127" s="26"/>
      <c r="F127" s="26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3"/>
    </row>
    <row r="128" ht="15.75" customHeight="1">
      <c r="A128" s="26"/>
      <c r="B128" s="26"/>
      <c r="C128" s="26"/>
      <c r="D128" s="26"/>
      <c r="E128" s="26"/>
      <c r="F128" s="26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3"/>
    </row>
    <row r="129" ht="15.75" customHeight="1">
      <c r="A129" s="26"/>
      <c r="B129" s="26"/>
      <c r="C129" s="26"/>
      <c r="D129" s="26"/>
      <c r="E129" s="26"/>
      <c r="F129" s="2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3"/>
    </row>
    <row r="130" ht="15.75" customHeight="1">
      <c r="A130" s="26"/>
      <c r="B130" s="26"/>
      <c r="C130" s="26"/>
      <c r="D130" s="26"/>
      <c r="E130" s="26"/>
      <c r="F130" s="2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3"/>
    </row>
    <row r="131" ht="15.75" customHeight="1">
      <c r="A131" s="26"/>
      <c r="B131" s="26"/>
      <c r="C131" s="26"/>
      <c r="D131" s="26"/>
      <c r="E131" s="26"/>
      <c r="F131" s="2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3"/>
    </row>
    <row r="132" ht="15.75" customHeight="1">
      <c r="A132" s="26"/>
      <c r="B132" s="26"/>
      <c r="C132" s="26"/>
      <c r="D132" s="26"/>
      <c r="E132" s="26"/>
      <c r="F132" s="2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3"/>
    </row>
    <row r="133" ht="15.75" customHeight="1">
      <c r="A133" s="26"/>
      <c r="B133" s="26"/>
      <c r="C133" s="26"/>
      <c r="D133" s="26"/>
      <c r="E133" s="26"/>
      <c r="F133" s="2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3"/>
    </row>
    <row r="134" ht="15.75" customHeight="1">
      <c r="A134" s="26"/>
      <c r="B134" s="26"/>
      <c r="C134" s="26"/>
      <c r="D134" s="26"/>
      <c r="E134" s="26"/>
      <c r="F134" s="2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3"/>
    </row>
    <row r="135" ht="15.75" customHeight="1">
      <c r="A135" s="26"/>
      <c r="B135" s="26"/>
      <c r="C135" s="26"/>
      <c r="D135" s="26"/>
      <c r="E135" s="26"/>
      <c r="F135" s="2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3"/>
    </row>
    <row r="136" ht="15.75" customHeight="1">
      <c r="A136" s="26"/>
      <c r="B136" s="26"/>
      <c r="C136" s="26"/>
      <c r="D136" s="26"/>
      <c r="E136" s="26"/>
      <c r="F136" s="2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3"/>
    </row>
    <row r="137" ht="15.75" customHeight="1">
      <c r="A137" s="26"/>
      <c r="B137" s="26"/>
      <c r="C137" s="26"/>
      <c r="D137" s="26"/>
      <c r="E137" s="26"/>
      <c r="F137" s="2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3"/>
    </row>
    <row r="138" ht="15.75" customHeight="1">
      <c r="A138" s="26"/>
      <c r="B138" s="26"/>
      <c r="C138" s="26"/>
      <c r="D138" s="26"/>
      <c r="E138" s="26"/>
      <c r="F138" s="26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3"/>
    </row>
    <row r="139" ht="15.75" customHeight="1">
      <c r="A139" s="26"/>
      <c r="B139" s="26"/>
      <c r="C139" s="26"/>
      <c r="D139" s="26"/>
      <c r="E139" s="26"/>
      <c r="F139" s="26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3"/>
    </row>
    <row r="140" ht="15.75" customHeight="1">
      <c r="A140" s="26"/>
      <c r="B140" s="26"/>
      <c r="C140" s="26"/>
      <c r="D140" s="26"/>
      <c r="E140" s="26"/>
      <c r="F140" s="26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3"/>
    </row>
    <row r="141" ht="15.75" customHeight="1">
      <c r="A141" s="26"/>
      <c r="B141" s="26"/>
      <c r="C141" s="26"/>
      <c r="D141" s="26"/>
      <c r="E141" s="26"/>
      <c r="F141" s="26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3"/>
    </row>
    <row r="142" ht="15.75" customHeight="1">
      <c r="A142" s="26"/>
      <c r="B142" s="26"/>
      <c r="C142" s="26"/>
      <c r="D142" s="26"/>
      <c r="E142" s="26"/>
      <c r="F142" s="26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3"/>
    </row>
    <row r="143" ht="15.75" customHeight="1">
      <c r="A143" s="26"/>
      <c r="B143" s="26"/>
      <c r="C143" s="26"/>
      <c r="D143" s="26"/>
      <c r="E143" s="26"/>
      <c r="F143" s="26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3"/>
    </row>
    <row r="144" ht="15.75" customHeight="1">
      <c r="A144" s="26"/>
      <c r="B144" s="26"/>
      <c r="C144" s="26"/>
      <c r="D144" s="26"/>
      <c r="E144" s="26"/>
      <c r="F144" s="26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3"/>
    </row>
    <row r="145" ht="15.75" customHeight="1">
      <c r="A145" s="26"/>
      <c r="B145" s="26"/>
      <c r="C145" s="26"/>
      <c r="D145" s="26"/>
      <c r="E145" s="26"/>
      <c r="F145" s="26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3"/>
    </row>
    <row r="146" ht="15.75" customHeight="1">
      <c r="A146" s="26"/>
      <c r="B146" s="26"/>
      <c r="C146" s="26"/>
      <c r="D146" s="26"/>
      <c r="E146" s="26"/>
      <c r="F146" s="26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3"/>
    </row>
    <row r="147" ht="15.75" customHeight="1">
      <c r="A147" s="26"/>
      <c r="B147" s="26"/>
      <c r="C147" s="26"/>
      <c r="D147" s="26"/>
      <c r="E147" s="26"/>
      <c r="F147" s="26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3"/>
    </row>
    <row r="148" ht="15.75" customHeight="1">
      <c r="A148" s="26"/>
      <c r="B148" s="26"/>
      <c r="C148" s="26"/>
      <c r="D148" s="26"/>
      <c r="E148" s="26"/>
      <c r="F148" s="26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3"/>
    </row>
    <row r="149" ht="15.75" customHeight="1">
      <c r="A149" s="26"/>
      <c r="B149" s="26"/>
      <c r="C149" s="26"/>
      <c r="D149" s="26"/>
      <c r="E149" s="26"/>
      <c r="F149" s="26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3"/>
    </row>
    <row r="150" ht="15.75" customHeight="1">
      <c r="A150" s="26"/>
      <c r="B150" s="26"/>
      <c r="C150" s="26"/>
      <c r="D150" s="26"/>
      <c r="E150" s="26"/>
      <c r="F150" s="26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3"/>
    </row>
    <row r="151" ht="15.75" customHeight="1">
      <c r="A151" s="26"/>
      <c r="B151" s="26"/>
      <c r="C151" s="26"/>
      <c r="D151" s="26"/>
      <c r="E151" s="26"/>
      <c r="F151" s="26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3"/>
    </row>
    <row r="152" ht="15.75" customHeight="1">
      <c r="A152" s="26"/>
      <c r="B152" s="26"/>
      <c r="C152" s="26"/>
      <c r="D152" s="26"/>
      <c r="E152" s="26"/>
      <c r="F152" s="26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3"/>
    </row>
    <row r="153" ht="15.75" customHeight="1">
      <c r="A153" s="26"/>
      <c r="B153" s="26"/>
      <c r="C153" s="26"/>
      <c r="D153" s="26"/>
      <c r="E153" s="26"/>
      <c r="F153" s="26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3"/>
    </row>
    <row r="154" ht="15.75" customHeight="1">
      <c r="A154" s="26"/>
      <c r="B154" s="26"/>
      <c r="C154" s="26"/>
      <c r="D154" s="26"/>
      <c r="E154" s="26"/>
      <c r="F154" s="26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3"/>
    </row>
    <row r="155" ht="15.75" customHeight="1">
      <c r="A155" s="26"/>
      <c r="B155" s="26"/>
      <c r="C155" s="26"/>
      <c r="D155" s="26"/>
      <c r="E155" s="26"/>
      <c r="F155" s="26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3"/>
    </row>
    <row r="156" ht="15.75" customHeight="1">
      <c r="A156" s="26"/>
      <c r="B156" s="26"/>
      <c r="C156" s="26"/>
      <c r="D156" s="26"/>
      <c r="E156" s="26"/>
      <c r="F156" s="26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3"/>
    </row>
    <row r="157" ht="15.75" customHeight="1">
      <c r="A157" s="26"/>
      <c r="B157" s="26"/>
      <c r="C157" s="26"/>
      <c r="D157" s="26"/>
      <c r="E157" s="26"/>
      <c r="F157" s="26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3"/>
    </row>
    <row r="158" ht="15.75" customHeight="1">
      <c r="A158" s="26"/>
      <c r="B158" s="26"/>
      <c r="C158" s="26"/>
      <c r="D158" s="26"/>
      <c r="E158" s="26"/>
      <c r="F158" s="26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3"/>
    </row>
    <row r="159" ht="15.75" customHeight="1">
      <c r="A159" s="26"/>
      <c r="B159" s="26"/>
      <c r="C159" s="26"/>
      <c r="D159" s="26"/>
      <c r="E159" s="26"/>
      <c r="F159" s="26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3"/>
    </row>
    <row r="160" ht="15.75" customHeight="1">
      <c r="A160" s="26"/>
      <c r="B160" s="26"/>
      <c r="C160" s="26"/>
      <c r="D160" s="26"/>
      <c r="E160" s="26"/>
      <c r="F160" s="26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3"/>
    </row>
    <row r="161" ht="15.75" customHeight="1">
      <c r="A161" s="26"/>
      <c r="B161" s="26"/>
      <c r="C161" s="26"/>
      <c r="D161" s="26"/>
      <c r="E161" s="26"/>
      <c r="F161" s="26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3"/>
    </row>
    <row r="162" ht="15.75" customHeight="1">
      <c r="A162" s="26"/>
      <c r="B162" s="26"/>
      <c r="C162" s="26"/>
      <c r="D162" s="26"/>
      <c r="E162" s="26"/>
      <c r="F162" s="26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3"/>
    </row>
    <row r="163" ht="15.75" customHeight="1">
      <c r="A163" s="26"/>
      <c r="B163" s="26"/>
      <c r="C163" s="26"/>
      <c r="D163" s="26"/>
      <c r="E163" s="26"/>
      <c r="F163" s="26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3"/>
    </row>
    <row r="164" ht="15.75" customHeight="1">
      <c r="A164" s="26"/>
      <c r="B164" s="26"/>
      <c r="C164" s="26"/>
      <c r="D164" s="26"/>
      <c r="E164" s="26"/>
      <c r="F164" s="26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3"/>
    </row>
    <row r="165" ht="15.75" customHeight="1">
      <c r="A165" s="26"/>
      <c r="B165" s="26"/>
      <c r="C165" s="26"/>
      <c r="D165" s="26"/>
      <c r="E165" s="26"/>
      <c r="F165" s="2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3"/>
    </row>
    <row r="166" ht="15.75" customHeight="1">
      <c r="A166" s="26"/>
      <c r="B166" s="26"/>
      <c r="C166" s="26"/>
      <c r="D166" s="26"/>
      <c r="E166" s="26"/>
      <c r="F166" s="2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3"/>
    </row>
    <row r="167" ht="15.75" customHeight="1">
      <c r="A167" s="26"/>
      <c r="B167" s="26"/>
      <c r="C167" s="26"/>
      <c r="D167" s="26"/>
      <c r="E167" s="26"/>
      <c r="F167" s="2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3"/>
    </row>
    <row r="168" ht="15.75" customHeight="1">
      <c r="A168" s="26"/>
      <c r="B168" s="26"/>
      <c r="C168" s="26"/>
      <c r="D168" s="26"/>
      <c r="E168" s="26"/>
      <c r="F168" s="2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3"/>
    </row>
    <row r="169" ht="15.75" customHeight="1">
      <c r="A169" s="26"/>
      <c r="B169" s="26"/>
      <c r="C169" s="26"/>
      <c r="D169" s="26"/>
      <c r="E169" s="26"/>
      <c r="F169" s="2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3"/>
    </row>
    <row r="170" ht="15.75" customHeight="1">
      <c r="A170" s="26"/>
      <c r="B170" s="26"/>
      <c r="C170" s="26"/>
      <c r="D170" s="26"/>
      <c r="E170" s="26"/>
      <c r="F170" s="2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3"/>
    </row>
    <row r="171" ht="15.75" customHeight="1">
      <c r="A171" s="26"/>
      <c r="B171" s="26"/>
      <c r="C171" s="26"/>
      <c r="D171" s="26"/>
      <c r="E171" s="26"/>
      <c r="F171" s="2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3"/>
    </row>
    <row r="172" ht="15.75" customHeight="1">
      <c r="A172" s="26"/>
      <c r="B172" s="26"/>
      <c r="C172" s="26"/>
      <c r="D172" s="26"/>
      <c r="E172" s="26"/>
      <c r="F172" s="2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3"/>
    </row>
    <row r="173" ht="15.75" customHeight="1">
      <c r="A173" s="26"/>
      <c r="B173" s="26"/>
      <c r="C173" s="26"/>
      <c r="D173" s="26"/>
      <c r="E173" s="26"/>
      <c r="F173" s="2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3"/>
    </row>
    <row r="174" ht="15.75" customHeight="1">
      <c r="A174" s="26"/>
      <c r="B174" s="26"/>
      <c r="C174" s="26"/>
      <c r="D174" s="26"/>
      <c r="E174" s="26"/>
      <c r="F174" s="2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3"/>
    </row>
    <row r="175" ht="15.75" customHeight="1">
      <c r="A175" s="26"/>
      <c r="B175" s="26"/>
      <c r="C175" s="26"/>
      <c r="D175" s="26"/>
      <c r="E175" s="26"/>
      <c r="F175" s="2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3"/>
    </row>
    <row r="176" ht="15.75" customHeight="1">
      <c r="A176" s="26"/>
      <c r="B176" s="26"/>
      <c r="C176" s="26"/>
      <c r="D176" s="26"/>
      <c r="E176" s="26"/>
      <c r="F176" s="2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3"/>
    </row>
    <row r="177" ht="15.75" customHeight="1">
      <c r="A177" s="26"/>
      <c r="B177" s="26"/>
      <c r="C177" s="26"/>
      <c r="D177" s="26"/>
      <c r="E177" s="26"/>
      <c r="F177" s="26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3"/>
    </row>
    <row r="178" ht="15.75" customHeight="1">
      <c r="A178" s="26"/>
      <c r="B178" s="26"/>
      <c r="C178" s="26"/>
      <c r="D178" s="26"/>
      <c r="E178" s="26"/>
      <c r="F178" s="26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3"/>
    </row>
    <row r="179" ht="15.75" customHeight="1">
      <c r="A179" s="26"/>
      <c r="B179" s="26"/>
      <c r="C179" s="26"/>
      <c r="D179" s="26"/>
      <c r="E179" s="26"/>
      <c r="F179" s="26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3"/>
    </row>
    <row r="180" ht="15.75" customHeight="1">
      <c r="A180" s="26"/>
      <c r="B180" s="26"/>
      <c r="C180" s="26"/>
      <c r="D180" s="26"/>
      <c r="E180" s="26"/>
      <c r="F180" s="26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3"/>
    </row>
    <row r="181" ht="15.75" customHeight="1">
      <c r="A181" s="26"/>
      <c r="B181" s="26"/>
      <c r="C181" s="26"/>
      <c r="D181" s="26"/>
      <c r="E181" s="26"/>
      <c r="F181" s="26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3"/>
    </row>
    <row r="182" ht="15.75" customHeight="1">
      <c r="A182" s="26"/>
      <c r="B182" s="26"/>
      <c r="C182" s="26"/>
      <c r="D182" s="26"/>
      <c r="E182" s="26"/>
      <c r="F182" s="26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3"/>
    </row>
    <row r="183" ht="15.75" customHeight="1">
      <c r="A183" s="26"/>
      <c r="B183" s="26"/>
      <c r="C183" s="26"/>
      <c r="D183" s="26"/>
      <c r="E183" s="26"/>
      <c r="F183" s="26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3"/>
    </row>
    <row r="184" ht="15.75" customHeight="1">
      <c r="A184" s="26"/>
      <c r="B184" s="26"/>
      <c r="C184" s="26"/>
      <c r="D184" s="26"/>
      <c r="E184" s="26"/>
      <c r="F184" s="26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3"/>
    </row>
    <row r="185" ht="15.75" customHeight="1">
      <c r="A185" s="26"/>
      <c r="B185" s="26"/>
      <c r="C185" s="26"/>
      <c r="D185" s="26"/>
      <c r="E185" s="26"/>
      <c r="F185" s="26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3"/>
    </row>
    <row r="186" ht="15.75" customHeight="1">
      <c r="A186" s="26"/>
      <c r="B186" s="26"/>
      <c r="C186" s="26"/>
      <c r="D186" s="26"/>
      <c r="E186" s="26"/>
      <c r="F186" s="26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3"/>
    </row>
    <row r="187" ht="15.75" customHeight="1">
      <c r="A187" s="26"/>
      <c r="B187" s="26"/>
      <c r="C187" s="26"/>
      <c r="D187" s="26"/>
      <c r="E187" s="26"/>
      <c r="F187" s="26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3"/>
    </row>
    <row r="188" ht="15.75" customHeight="1">
      <c r="A188" s="26"/>
      <c r="B188" s="26"/>
      <c r="C188" s="26"/>
      <c r="D188" s="26"/>
      <c r="E188" s="26"/>
      <c r="F188" s="26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3"/>
    </row>
    <row r="189" ht="15.75" customHeight="1">
      <c r="A189" s="26"/>
      <c r="B189" s="26"/>
      <c r="C189" s="26"/>
      <c r="D189" s="26"/>
      <c r="E189" s="26"/>
      <c r="F189" s="2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3"/>
    </row>
    <row r="190" ht="15.75" customHeight="1">
      <c r="A190" s="26"/>
      <c r="B190" s="26"/>
      <c r="C190" s="26"/>
      <c r="D190" s="26"/>
      <c r="E190" s="26"/>
      <c r="F190" s="26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3"/>
    </row>
    <row r="191" ht="15.75" customHeight="1">
      <c r="A191" s="26"/>
      <c r="B191" s="26"/>
      <c r="C191" s="26"/>
      <c r="D191" s="26"/>
      <c r="E191" s="26"/>
      <c r="F191" s="26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3"/>
    </row>
    <row r="192" ht="15.75" customHeight="1">
      <c r="A192" s="26"/>
      <c r="B192" s="26"/>
      <c r="C192" s="26"/>
      <c r="D192" s="26"/>
      <c r="E192" s="26"/>
      <c r="F192" s="26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3"/>
    </row>
    <row r="193" ht="15.75" customHeight="1">
      <c r="A193" s="26"/>
      <c r="B193" s="26"/>
      <c r="C193" s="26"/>
      <c r="D193" s="26"/>
      <c r="E193" s="26"/>
      <c r="F193" s="2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3"/>
    </row>
    <row r="194" ht="15.75" customHeight="1">
      <c r="A194" s="26"/>
      <c r="B194" s="26"/>
      <c r="C194" s="26"/>
      <c r="D194" s="26"/>
      <c r="E194" s="26"/>
      <c r="F194" s="26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3"/>
    </row>
    <row r="195" ht="15.75" customHeight="1">
      <c r="A195" s="26"/>
      <c r="B195" s="26"/>
      <c r="C195" s="26"/>
      <c r="D195" s="26"/>
      <c r="E195" s="26"/>
      <c r="F195" s="26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3"/>
    </row>
    <row r="196" ht="15.75" customHeight="1">
      <c r="A196" s="26"/>
      <c r="B196" s="26"/>
      <c r="C196" s="26"/>
      <c r="D196" s="26"/>
      <c r="E196" s="26"/>
      <c r="F196" s="26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3"/>
    </row>
    <row r="197" ht="15.75" customHeight="1">
      <c r="A197" s="26"/>
      <c r="B197" s="26"/>
      <c r="C197" s="26"/>
      <c r="D197" s="26"/>
      <c r="E197" s="26"/>
      <c r="F197" s="26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3"/>
    </row>
    <row r="198" ht="15.75" customHeight="1">
      <c r="A198" s="26"/>
      <c r="B198" s="26"/>
      <c r="C198" s="26"/>
      <c r="D198" s="26"/>
      <c r="E198" s="26"/>
      <c r="F198" s="26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3"/>
    </row>
    <row r="199" ht="15.75" customHeight="1">
      <c r="A199" s="26"/>
      <c r="B199" s="26"/>
      <c r="C199" s="26"/>
      <c r="D199" s="26"/>
      <c r="E199" s="26"/>
      <c r="F199" s="26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3"/>
    </row>
    <row r="200" ht="15.75" customHeight="1">
      <c r="A200" s="26"/>
      <c r="B200" s="26"/>
      <c r="C200" s="26"/>
      <c r="D200" s="26"/>
      <c r="E200" s="26"/>
      <c r="F200" s="26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3"/>
    </row>
    <row r="201" ht="15.75" customHeight="1">
      <c r="A201" s="26"/>
      <c r="B201" s="26"/>
      <c r="C201" s="26"/>
      <c r="D201" s="26"/>
      <c r="E201" s="26"/>
      <c r="F201" s="26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3"/>
    </row>
    <row r="202" ht="15.75" customHeight="1">
      <c r="A202" s="26"/>
      <c r="B202" s="26"/>
      <c r="C202" s="26"/>
      <c r="D202" s="26"/>
      <c r="E202" s="26"/>
      <c r="F202" s="2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3"/>
    </row>
    <row r="203" ht="15.75" customHeight="1">
      <c r="A203" s="26"/>
      <c r="B203" s="26"/>
      <c r="C203" s="26"/>
      <c r="D203" s="26"/>
      <c r="E203" s="26"/>
      <c r="F203" s="2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3"/>
    </row>
    <row r="204" ht="15.75" customHeight="1">
      <c r="A204" s="26"/>
      <c r="B204" s="26"/>
      <c r="C204" s="26"/>
      <c r="D204" s="26"/>
      <c r="E204" s="26"/>
      <c r="F204" s="2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3"/>
    </row>
    <row r="205" ht="15.75" customHeight="1">
      <c r="A205" s="26"/>
      <c r="B205" s="26"/>
      <c r="C205" s="26"/>
      <c r="D205" s="26"/>
      <c r="E205" s="26"/>
      <c r="F205" s="2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3"/>
    </row>
    <row r="206" ht="15.75" customHeight="1">
      <c r="A206" s="26"/>
      <c r="B206" s="26"/>
      <c r="C206" s="26"/>
      <c r="D206" s="26"/>
      <c r="E206" s="26"/>
      <c r="F206" s="2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3"/>
    </row>
    <row r="207" ht="15.75" customHeight="1">
      <c r="A207" s="26"/>
      <c r="B207" s="26"/>
      <c r="C207" s="26"/>
      <c r="D207" s="26"/>
      <c r="E207" s="26"/>
      <c r="F207" s="2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3"/>
    </row>
    <row r="208" ht="15.75" customHeight="1">
      <c r="A208" s="26"/>
      <c r="B208" s="26"/>
      <c r="C208" s="26"/>
      <c r="D208" s="26"/>
      <c r="E208" s="26"/>
      <c r="F208" s="2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3"/>
    </row>
    <row r="209" ht="15.75" customHeight="1">
      <c r="A209" s="26"/>
      <c r="B209" s="26"/>
      <c r="C209" s="26"/>
      <c r="D209" s="26"/>
      <c r="E209" s="26"/>
      <c r="F209" s="2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3"/>
    </row>
    <row r="210" ht="15.75" customHeight="1">
      <c r="A210" s="26"/>
      <c r="B210" s="26"/>
      <c r="C210" s="26"/>
      <c r="D210" s="26"/>
      <c r="E210" s="26"/>
      <c r="F210" s="2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3"/>
    </row>
    <row r="211" ht="15.75" customHeight="1">
      <c r="A211" s="26"/>
      <c r="B211" s="26"/>
      <c r="C211" s="26"/>
      <c r="D211" s="26"/>
      <c r="E211" s="26"/>
      <c r="F211" s="2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3"/>
    </row>
    <row r="212" ht="15.75" customHeight="1">
      <c r="A212" s="26"/>
      <c r="B212" s="26"/>
      <c r="C212" s="26"/>
      <c r="D212" s="26"/>
      <c r="E212" s="26"/>
      <c r="F212" s="2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3"/>
    </row>
    <row r="213" ht="15.75" customHeight="1">
      <c r="A213" s="26"/>
      <c r="B213" s="26"/>
      <c r="C213" s="26"/>
      <c r="D213" s="26"/>
      <c r="E213" s="26"/>
      <c r="F213" s="2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3"/>
    </row>
    <row r="214" ht="15.75" customHeight="1">
      <c r="A214" s="26"/>
      <c r="B214" s="26"/>
      <c r="C214" s="26"/>
      <c r="D214" s="26"/>
      <c r="E214" s="26"/>
      <c r="F214" s="2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3"/>
    </row>
    <row r="215" ht="15.75" customHeight="1">
      <c r="A215" s="26"/>
      <c r="B215" s="26"/>
      <c r="C215" s="26"/>
      <c r="D215" s="26"/>
      <c r="E215" s="26"/>
      <c r="F215" s="2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3"/>
    </row>
    <row r="216" ht="15.75" customHeight="1">
      <c r="A216" s="26"/>
      <c r="B216" s="26"/>
      <c r="C216" s="26"/>
      <c r="D216" s="26"/>
      <c r="E216" s="26"/>
      <c r="F216" s="26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3"/>
    </row>
    <row r="217" ht="15.75" customHeight="1">
      <c r="A217" s="26"/>
      <c r="B217" s="26"/>
      <c r="C217" s="26"/>
      <c r="D217" s="26"/>
      <c r="E217" s="26"/>
      <c r="F217" s="26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3"/>
    </row>
    <row r="218" ht="15.75" customHeight="1">
      <c r="A218" s="26"/>
      <c r="B218" s="26"/>
      <c r="C218" s="26"/>
      <c r="D218" s="26"/>
      <c r="E218" s="26"/>
      <c r="F218" s="26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3"/>
    </row>
    <row r="219" ht="15.75" customHeight="1">
      <c r="A219" s="26"/>
      <c r="B219" s="26"/>
      <c r="C219" s="26"/>
      <c r="D219" s="26"/>
      <c r="E219" s="26"/>
      <c r="F219" s="26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3"/>
    </row>
    <row r="220" ht="15.75" customHeight="1">
      <c r="A220" s="26"/>
      <c r="B220" s="26"/>
      <c r="C220" s="26"/>
      <c r="D220" s="26"/>
      <c r="E220" s="26"/>
      <c r="F220" s="26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3"/>
    </row>
    <row r="221" ht="15.75" customHeight="1">
      <c r="A221" s="26"/>
      <c r="B221" s="26"/>
      <c r="C221" s="26"/>
      <c r="D221" s="26"/>
      <c r="E221" s="26"/>
      <c r="F221" s="26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3"/>
    </row>
    <row r="222" ht="15.75" customHeight="1">
      <c r="A222" s="26"/>
      <c r="B222" s="26"/>
      <c r="C222" s="26"/>
      <c r="D222" s="26"/>
      <c r="E222" s="26"/>
      <c r="F222" s="26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3"/>
    </row>
    <row r="223" ht="15.75" customHeight="1">
      <c r="A223" s="26"/>
      <c r="B223" s="26"/>
      <c r="C223" s="26"/>
      <c r="D223" s="26"/>
      <c r="E223" s="26"/>
      <c r="F223" s="26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3"/>
    </row>
    <row r="224" ht="15.75" customHeight="1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2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2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2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2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2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2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2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2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Y1"/>
    <mergeCell ref="A3:Y3"/>
    <mergeCell ref="A5:Y5"/>
    <mergeCell ref="A6:Y6"/>
    <mergeCell ref="A8:Y8"/>
    <mergeCell ref="A9:Y9"/>
  </mergeCells>
  <conditionalFormatting sqref="E12:E21">
    <cfRule type="cellIs" dxfId="0" priority="1" operator="equal">
      <formula>SUM(B12:D12)</formula>
    </cfRule>
  </conditionalFormatting>
  <conditionalFormatting sqref="F12:F21">
    <cfRule type="containsText" dxfId="0" priority="2" operator="containsText" text="Pass">
      <formula>NOT(ISERROR(SEARCH(("Pass"),(F12))))</formula>
    </cfRule>
  </conditionalFormatting>
  <conditionalFormatting sqref="F13:F15 F17:F18 F21">
    <cfRule type="containsText" dxfId="0" priority="3" operator="containsText" text="Fail">
      <formula>NOT(ISERROR(SEARCH(("Fail"),(F13))))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25" width="14.67"/>
    <col customWidth="1" min="26" max="26" width="11.11"/>
  </cols>
  <sheetData>
    <row r="1">
      <c r="A1" s="1" t="s">
        <v>1</v>
      </c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</v>
      </c>
      <c r="Z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Z5" s="4"/>
    </row>
    <row r="6">
      <c r="A6" s="4" t="s">
        <v>10</v>
      </c>
      <c r="Z6" s="4"/>
    </row>
    <row r="7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16</v>
      </c>
      <c r="Z8" s="4"/>
    </row>
    <row r="9">
      <c r="A9" s="4" t="s">
        <v>19</v>
      </c>
      <c r="Z9" s="4"/>
    </row>
    <row r="1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14</v>
      </c>
      <c r="B11" s="14" t="s">
        <v>26</v>
      </c>
      <c r="C11" s="14" t="s">
        <v>28</v>
      </c>
      <c r="D11" s="15" t="s">
        <v>21</v>
      </c>
      <c r="E11" s="16" t="s">
        <v>29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3"/>
    </row>
    <row r="12">
      <c r="A12" s="9" t="s">
        <v>24</v>
      </c>
      <c r="B12" s="18">
        <v>24.0</v>
      </c>
      <c r="C12" s="19">
        <v>35.0</v>
      </c>
      <c r="D12" s="20">
        <f t="shared" ref="D12:D36" si="1">B12+C12</f>
        <v>59</v>
      </c>
      <c r="E12" s="21" t="str">
        <f t="shared" ref="E12:E36" si="2">IF(D12&gt;=$B$38,"Pass","Fail")</f>
        <v>Fail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30</v>
      </c>
      <c r="B13" s="18">
        <v>17.0</v>
      </c>
      <c r="C13" s="19">
        <v>23.0</v>
      </c>
      <c r="D13" s="20">
        <f t="shared" si="1"/>
        <v>40</v>
      </c>
      <c r="E13" s="21" t="str">
        <f t="shared" si="2"/>
        <v>Fail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33</v>
      </c>
      <c r="B14" s="18">
        <v>27.0</v>
      </c>
      <c r="C14" s="19">
        <v>33.0</v>
      </c>
      <c r="D14" s="20">
        <f t="shared" si="1"/>
        <v>60</v>
      </c>
      <c r="E14" s="21" t="str">
        <f t="shared" si="2"/>
        <v>Pass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35</v>
      </c>
      <c r="B15" s="18">
        <v>31.0</v>
      </c>
      <c r="C15" s="19">
        <v>42.0</v>
      </c>
      <c r="D15" s="20">
        <f t="shared" si="1"/>
        <v>73</v>
      </c>
      <c r="E15" s="21" t="str">
        <f t="shared" si="2"/>
        <v>Pass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36</v>
      </c>
      <c r="B16" s="18">
        <v>26.0</v>
      </c>
      <c r="C16" s="19">
        <v>32.0</v>
      </c>
      <c r="D16" s="20">
        <f t="shared" si="1"/>
        <v>58</v>
      </c>
      <c r="E16" s="21" t="str">
        <f t="shared" si="2"/>
        <v>Fail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44</v>
      </c>
      <c r="B17" s="18">
        <v>28.0</v>
      </c>
      <c r="C17" s="19">
        <v>39.0</v>
      </c>
      <c r="D17" s="20">
        <f t="shared" si="1"/>
        <v>67</v>
      </c>
      <c r="E17" s="21" t="str">
        <f t="shared" si="2"/>
        <v>Pass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47</v>
      </c>
      <c r="B18" s="18">
        <v>34.0</v>
      </c>
      <c r="C18" s="19">
        <v>45.0</v>
      </c>
      <c r="D18" s="20">
        <f t="shared" si="1"/>
        <v>79</v>
      </c>
      <c r="E18" s="21" t="str">
        <f t="shared" si="2"/>
        <v>Pass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50</v>
      </c>
      <c r="B19" s="18">
        <v>25.0</v>
      </c>
      <c r="C19" s="19">
        <v>31.0</v>
      </c>
      <c r="D19" s="20">
        <f t="shared" si="1"/>
        <v>56</v>
      </c>
      <c r="E19" s="21" t="str">
        <f t="shared" si="2"/>
        <v>Fail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51</v>
      </c>
      <c r="B20" s="18">
        <v>16.0</v>
      </c>
      <c r="C20" s="19">
        <v>22.0</v>
      </c>
      <c r="D20" s="20">
        <f t="shared" si="1"/>
        <v>38</v>
      </c>
      <c r="E20" s="21" t="str">
        <f t="shared" si="2"/>
        <v>Fail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 t="s">
        <v>54</v>
      </c>
      <c r="B21" s="18">
        <v>23.0</v>
      </c>
      <c r="C21" s="19">
        <v>29.0</v>
      </c>
      <c r="D21" s="20">
        <f t="shared" si="1"/>
        <v>52</v>
      </c>
      <c r="E21" s="21" t="str">
        <f t="shared" si="2"/>
        <v>Fail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9" t="s">
        <v>59</v>
      </c>
      <c r="B22" s="19">
        <v>19.0</v>
      </c>
      <c r="C22" s="19">
        <v>25.0</v>
      </c>
      <c r="D22" s="20">
        <f t="shared" si="1"/>
        <v>44</v>
      </c>
      <c r="E22" s="21" t="str">
        <f t="shared" si="2"/>
        <v>Fail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9" t="s">
        <v>61</v>
      </c>
      <c r="B23" s="19">
        <v>20.0</v>
      </c>
      <c r="C23" s="19">
        <v>26.0</v>
      </c>
      <c r="D23" s="20">
        <f t="shared" si="1"/>
        <v>46</v>
      </c>
      <c r="E23" s="21" t="str">
        <f t="shared" si="2"/>
        <v>Fail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9" t="s">
        <v>63</v>
      </c>
      <c r="B24" s="19">
        <v>32.0</v>
      </c>
      <c r="C24" s="19">
        <v>43.0</v>
      </c>
      <c r="D24" s="20">
        <f t="shared" si="1"/>
        <v>75</v>
      </c>
      <c r="E24" s="21" t="str">
        <f t="shared" si="2"/>
        <v>Pass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9" t="s">
        <v>65</v>
      </c>
      <c r="B25" s="19">
        <v>22.0</v>
      </c>
      <c r="C25" s="19">
        <v>28.0</v>
      </c>
      <c r="D25" s="20">
        <f t="shared" si="1"/>
        <v>50</v>
      </c>
      <c r="E25" s="21" t="str">
        <f t="shared" si="2"/>
        <v>Fail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9" t="s">
        <v>67</v>
      </c>
      <c r="B26" s="19">
        <v>28.0</v>
      </c>
      <c r="C26" s="19">
        <v>34.0</v>
      </c>
      <c r="D26" s="20">
        <f t="shared" si="1"/>
        <v>62</v>
      </c>
      <c r="E26" s="21" t="str">
        <f t="shared" si="2"/>
        <v>Pass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9" t="s">
        <v>69</v>
      </c>
      <c r="B27" s="19">
        <v>25.0</v>
      </c>
      <c r="C27" s="19">
        <v>36.0</v>
      </c>
      <c r="D27" s="20">
        <f t="shared" si="1"/>
        <v>61</v>
      </c>
      <c r="E27" s="21" t="str">
        <f t="shared" si="2"/>
        <v>Pass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9" t="s">
        <v>71</v>
      </c>
      <c r="B28" s="19">
        <v>26.0</v>
      </c>
      <c r="C28" s="19">
        <v>37.0</v>
      </c>
      <c r="D28" s="20">
        <f t="shared" si="1"/>
        <v>63</v>
      </c>
      <c r="E28" s="21" t="str">
        <f t="shared" si="2"/>
        <v>Pass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9" t="s">
        <v>73</v>
      </c>
      <c r="B29" s="19">
        <v>27.0</v>
      </c>
      <c r="C29" s="19">
        <v>38.0</v>
      </c>
      <c r="D29" s="20">
        <f t="shared" si="1"/>
        <v>65</v>
      </c>
      <c r="E29" s="21" t="str">
        <f t="shared" si="2"/>
        <v>Pass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9" t="s">
        <v>75</v>
      </c>
      <c r="B30" s="19">
        <v>29.0</v>
      </c>
      <c r="C30" s="19">
        <v>40.0</v>
      </c>
      <c r="D30" s="20">
        <f t="shared" si="1"/>
        <v>69</v>
      </c>
      <c r="E30" s="21" t="str">
        <f t="shared" si="2"/>
        <v>Pass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9" t="s">
        <v>77</v>
      </c>
      <c r="B31" s="19">
        <v>30.0</v>
      </c>
      <c r="C31" s="19">
        <v>41.0</v>
      </c>
      <c r="D31" s="20">
        <f t="shared" si="1"/>
        <v>71</v>
      </c>
      <c r="E31" s="21" t="str">
        <f t="shared" si="2"/>
        <v>Pass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9" t="s">
        <v>79</v>
      </c>
      <c r="B32" s="19">
        <v>15.0</v>
      </c>
      <c r="C32" s="19">
        <v>21.0</v>
      </c>
      <c r="D32" s="20">
        <f t="shared" si="1"/>
        <v>36</v>
      </c>
      <c r="E32" s="21" t="str">
        <f t="shared" si="2"/>
        <v>Fail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9" t="s">
        <v>80</v>
      </c>
      <c r="B33" s="19">
        <v>33.0</v>
      </c>
      <c r="C33" s="19">
        <v>44.0</v>
      </c>
      <c r="D33" s="20">
        <f t="shared" si="1"/>
        <v>77</v>
      </c>
      <c r="E33" s="21" t="str">
        <f t="shared" si="2"/>
        <v>Pass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9" t="s">
        <v>82</v>
      </c>
      <c r="B34" s="19">
        <v>21.0</v>
      </c>
      <c r="C34" s="19">
        <v>27.0</v>
      </c>
      <c r="D34" s="20">
        <f t="shared" si="1"/>
        <v>48</v>
      </c>
      <c r="E34" s="21" t="str">
        <f t="shared" si="2"/>
        <v>Fail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9" t="s">
        <v>83</v>
      </c>
      <c r="B35" s="19">
        <v>24.0</v>
      </c>
      <c r="C35" s="19">
        <v>30.0</v>
      </c>
      <c r="D35" s="20">
        <f t="shared" si="1"/>
        <v>54</v>
      </c>
      <c r="E35" s="21" t="str">
        <f t="shared" si="2"/>
        <v>Fail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 t="s">
        <v>85</v>
      </c>
      <c r="B36" s="19">
        <v>18.0</v>
      </c>
      <c r="C36" s="19">
        <v>24.0</v>
      </c>
      <c r="D36" s="20">
        <f t="shared" si="1"/>
        <v>42</v>
      </c>
      <c r="E36" s="21" t="str">
        <f t="shared" si="2"/>
        <v>Fail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0" t="s">
        <v>56</v>
      </c>
      <c r="B38" s="31">
        <v>60.0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89</v>
      </c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2" t="s">
        <v>91</v>
      </c>
      <c r="B42" s="33"/>
      <c r="C42" s="2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2"/>
      <c r="B43" s="3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2" t="s">
        <v>92</v>
      </c>
      <c r="B44" s="33"/>
      <c r="C44" s="2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2"/>
      <c r="B45" s="3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2" t="s">
        <v>93</v>
      </c>
      <c r="B46" s="33"/>
      <c r="C46" s="2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2"/>
      <c r="B47" s="3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2" t="s">
        <v>96</v>
      </c>
      <c r="B48" s="33"/>
      <c r="C48" s="2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2"/>
      <c r="B49" s="3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2" t="s">
        <v>97</v>
      </c>
      <c r="B50" s="33"/>
      <c r="C50" s="2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2"/>
      <c r="B51" s="3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99</v>
      </c>
      <c r="Z52" s="4"/>
    </row>
    <row r="53" ht="15.75" customHeight="1">
      <c r="A53" s="32"/>
      <c r="B53" s="3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2" t="s">
        <v>100</v>
      </c>
      <c r="B54" s="33"/>
      <c r="C54" s="25">
        <f>COUNTIF(E12:E36,"Pass")</f>
        <v>12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2"/>
      <c r="B55" s="3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2" t="s">
        <v>102</v>
      </c>
      <c r="B56" s="33"/>
      <c r="C56" s="25">
        <f>COUNTIF(E12:E36,"Fail")</f>
        <v>13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A42:B42"/>
    <mergeCell ref="A44:B44"/>
    <mergeCell ref="A46:B46"/>
    <mergeCell ref="A48:B48"/>
    <mergeCell ref="A50:B50"/>
    <mergeCell ref="A52:Y52"/>
    <mergeCell ref="A54:B54"/>
    <mergeCell ref="A56:B56"/>
    <mergeCell ref="A1:Y1"/>
    <mergeCell ref="A3:Y3"/>
    <mergeCell ref="A5:Y5"/>
    <mergeCell ref="A6:Y6"/>
    <mergeCell ref="A8:Y8"/>
    <mergeCell ref="A9:Y9"/>
    <mergeCell ref="A40:Y40"/>
  </mergeCells>
  <conditionalFormatting sqref="C42">
    <cfRule type="notContainsBlanks" dxfId="0" priority="1">
      <formula>LEN(TRIM(C42))&gt;0</formula>
    </cfRule>
  </conditionalFormatting>
  <conditionalFormatting sqref="D12:D36">
    <cfRule type="cellIs" dxfId="0" priority="2" operator="equal">
      <formula>SUM(B12:C12)</formula>
    </cfRule>
  </conditionalFormatting>
  <conditionalFormatting sqref="C42 C50">
    <cfRule type="cellIs" dxfId="0" priority="3" operator="equal">
      <formula>AVERAGE(B12:B36)</formula>
    </cfRule>
  </conditionalFormatting>
  <conditionalFormatting sqref="C44">
    <cfRule type="notContainsBlanks" dxfId="0" priority="4">
      <formula>LEN(TRIM(C44))&gt;0</formula>
    </cfRule>
  </conditionalFormatting>
  <conditionalFormatting sqref="C44">
    <cfRule type="cellIs" dxfId="0" priority="5" operator="equal">
      <formula>AVERAGE(B14:B37)</formula>
    </cfRule>
  </conditionalFormatting>
  <conditionalFormatting sqref="C46">
    <cfRule type="notContainsBlanks" dxfId="0" priority="6">
      <formula>LEN(TRIM(C46))&gt;0</formula>
    </cfRule>
  </conditionalFormatting>
  <conditionalFormatting sqref="C46">
    <cfRule type="cellIs" dxfId="0" priority="7" operator="equal">
      <formula>AVERAGE(B16:B39)</formula>
    </cfRule>
  </conditionalFormatting>
  <conditionalFormatting sqref="C48">
    <cfRule type="notContainsBlanks" dxfId="0" priority="8">
      <formula>LEN(TRIM(C48))&gt;0</formula>
    </cfRule>
  </conditionalFormatting>
  <conditionalFormatting sqref="C48">
    <cfRule type="cellIs" dxfId="0" priority="9" operator="equal">
      <formula>AVERAGE(B18:B42)</formula>
    </cfRule>
  </conditionalFormatting>
  <conditionalFormatting sqref="C50">
    <cfRule type="notContainsBlanks" dxfId="0" priority="10">
      <formula>LEN(TRIM(C50))&gt;0</formula>
    </cfRule>
  </conditionalFormatting>
  <conditionalFormatting sqref="C54">
    <cfRule type="notContainsBlanks" dxfId="0" priority="11">
      <formula>LEN(TRIM(C54))&gt;0</formula>
    </cfRule>
  </conditionalFormatting>
  <conditionalFormatting sqref="C56">
    <cfRule type="notContainsBlanks" dxfId="0" priority="12">
      <formula>LEN(TRIM(C56))&gt;0</formula>
    </cfRule>
  </conditionalFormatting>
  <conditionalFormatting sqref="C54 C56">
    <cfRule type="cellIs" dxfId="0" priority="13" operator="equal">
      <formula>AVERAGE(B23:B47)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16.0"/>
    <col customWidth="1" min="3" max="3" width="15.44"/>
    <col customWidth="1" min="4" max="4" width="12.33"/>
    <col customWidth="1" min="5" max="5" width="9.0"/>
    <col customWidth="1" min="6" max="6" width="18.0"/>
    <col customWidth="1" min="7" max="7" width="16.0"/>
    <col customWidth="1" min="8" max="8" width="9.44"/>
    <col customWidth="1" min="9" max="26" width="10.78"/>
  </cols>
  <sheetData>
    <row r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2" t="s">
        <v>37</v>
      </c>
      <c r="B15" s="22" t="s">
        <v>38</v>
      </c>
      <c r="C15" s="22" t="s">
        <v>39</v>
      </c>
      <c r="D15" s="23" t="s">
        <v>40</v>
      </c>
      <c r="E15" s="22" t="s">
        <v>41</v>
      </c>
      <c r="F15" s="22" t="s">
        <v>42</v>
      </c>
      <c r="G15" s="22" t="s">
        <v>43</v>
      </c>
      <c r="H15" s="22" t="s">
        <v>45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9" t="s">
        <v>46</v>
      </c>
      <c r="B16" s="19">
        <v>2.0</v>
      </c>
      <c r="C16" s="19">
        <v>3.0</v>
      </c>
      <c r="D16" s="25">
        <f t="shared" ref="D16:D32" si="1">B16+C16</f>
        <v>5</v>
      </c>
      <c r="E16" s="19" t="s">
        <v>48</v>
      </c>
      <c r="F16" s="19" t="s">
        <v>49</v>
      </c>
      <c r="G16" s="19">
        <v>51.0</v>
      </c>
      <c r="H16" s="25" t="str">
        <f t="shared" ref="H16:H32" si="2">IF(G16&gt;=30,"Popular","Standard")</f>
        <v>Popular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 t="s">
        <v>52</v>
      </c>
      <c r="B17" s="19">
        <v>2.0</v>
      </c>
      <c r="C17" s="19">
        <v>1.0</v>
      </c>
      <c r="D17" s="25">
        <f t="shared" si="1"/>
        <v>3</v>
      </c>
      <c r="E17" s="19" t="s">
        <v>48</v>
      </c>
      <c r="F17" s="19" t="s">
        <v>53</v>
      </c>
      <c r="G17" s="19">
        <v>55.0</v>
      </c>
      <c r="H17" s="25" t="str">
        <f t="shared" si="2"/>
        <v>Popular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 t="s">
        <v>55</v>
      </c>
      <c r="B18" s="19">
        <v>4.0</v>
      </c>
      <c r="C18" s="19">
        <v>4.0</v>
      </c>
      <c r="D18" s="25">
        <f t="shared" si="1"/>
        <v>8</v>
      </c>
      <c r="E18" s="19" t="s">
        <v>48</v>
      </c>
      <c r="F18" s="19" t="s">
        <v>49</v>
      </c>
      <c r="G18" s="19">
        <v>22.0</v>
      </c>
      <c r="H18" s="25" t="str">
        <f t="shared" si="2"/>
        <v>Standard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57</v>
      </c>
      <c r="B19" s="19">
        <v>4.0</v>
      </c>
      <c r="C19" s="19">
        <v>7.0</v>
      </c>
      <c r="D19" s="25">
        <f t="shared" si="1"/>
        <v>11</v>
      </c>
      <c r="E19" s="19" t="s">
        <v>48</v>
      </c>
      <c r="F19" s="19"/>
      <c r="G19" s="19">
        <v>12.0</v>
      </c>
      <c r="H19" s="25" t="str">
        <f t="shared" si="2"/>
        <v>Standard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58</v>
      </c>
      <c r="B20" s="19">
        <v>1.0</v>
      </c>
      <c r="C20" s="19"/>
      <c r="D20" s="25">
        <f t="shared" si="1"/>
        <v>1</v>
      </c>
      <c r="E20" s="19" t="s">
        <v>60</v>
      </c>
      <c r="F20" s="19"/>
      <c r="G20" s="19">
        <v>15.0</v>
      </c>
      <c r="H20" s="25" t="str">
        <f t="shared" si="2"/>
        <v>Standard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62</v>
      </c>
      <c r="B21" s="19">
        <v>2.0</v>
      </c>
      <c r="C21" s="19">
        <v>1.0</v>
      </c>
      <c r="D21" s="25">
        <f t="shared" si="1"/>
        <v>3</v>
      </c>
      <c r="E21" s="19" t="s">
        <v>60</v>
      </c>
      <c r="F21" s="19" t="s">
        <v>53</v>
      </c>
      <c r="G21" s="19">
        <v>38.0</v>
      </c>
      <c r="H21" s="25" t="str">
        <f t="shared" si="2"/>
        <v>Popular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64</v>
      </c>
      <c r="B22" s="19">
        <v>3.0</v>
      </c>
      <c r="C22" s="19"/>
      <c r="D22" s="25">
        <f t="shared" si="1"/>
        <v>3</v>
      </c>
      <c r="E22" s="19" t="s">
        <v>48</v>
      </c>
      <c r="F22" s="19" t="s">
        <v>53</v>
      </c>
      <c r="G22" s="19">
        <v>30.0</v>
      </c>
      <c r="H22" s="25" t="str">
        <f t="shared" si="2"/>
        <v>Popular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 t="s">
        <v>66</v>
      </c>
      <c r="B23" s="19">
        <v>2.0</v>
      </c>
      <c r="C23" s="19"/>
      <c r="D23" s="25">
        <f t="shared" si="1"/>
        <v>2</v>
      </c>
      <c r="E23" s="19" t="s">
        <v>68</v>
      </c>
      <c r="F23" s="19"/>
      <c r="G23" s="19">
        <v>24.0</v>
      </c>
      <c r="H23" s="25" t="str">
        <f t="shared" si="2"/>
        <v>Standard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 t="s">
        <v>70</v>
      </c>
      <c r="B24" s="19">
        <v>4.0</v>
      </c>
      <c r="C24" s="19">
        <v>3.0</v>
      </c>
      <c r="D24" s="25">
        <f t="shared" si="1"/>
        <v>7</v>
      </c>
      <c r="E24" s="19" t="s">
        <v>60</v>
      </c>
      <c r="F24" s="19" t="s">
        <v>53</v>
      </c>
      <c r="G24" s="19">
        <v>41.0</v>
      </c>
      <c r="H24" s="25" t="str">
        <f t="shared" si="2"/>
        <v>Popular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72</v>
      </c>
      <c r="B25" s="19">
        <v>2.0</v>
      </c>
      <c r="C25" s="19"/>
      <c r="D25" s="25">
        <f t="shared" si="1"/>
        <v>2</v>
      </c>
      <c r="E25" s="19" t="s">
        <v>48</v>
      </c>
      <c r="F25" s="19" t="s">
        <v>49</v>
      </c>
      <c r="G25" s="19">
        <v>40.0</v>
      </c>
      <c r="H25" s="25" t="str">
        <f t="shared" si="2"/>
        <v>Popular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74</v>
      </c>
      <c r="B26" s="19">
        <v>6.0</v>
      </c>
      <c r="C26" s="19">
        <v>4.0</v>
      </c>
      <c r="D26" s="25">
        <f t="shared" si="1"/>
        <v>10</v>
      </c>
      <c r="E26" s="19" t="s">
        <v>76</v>
      </c>
      <c r="F26" s="19"/>
      <c r="G26" s="19">
        <v>19.0</v>
      </c>
      <c r="H26" s="25" t="str">
        <f t="shared" si="2"/>
        <v>Standard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78</v>
      </c>
      <c r="B27" s="19">
        <v>1.0</v>
      </c>
      <c r="C27" s="19"/>
      <c r="D27" s="25">
        <f t="shared" si="1"/>
        <v>1</v>
      </c>
      <c r="E27" s="19" t="s">
        <v>68</v>
      </c>
      <c r="F27" s="19" t="s">
        <v>49</v>
      </c>
      <c r="G27" s="19">
        <v>25.0</v>
      </c>
      <c r="H27" s="25" t="str">
        <f t="shared" si="2"/>
        <v>Standard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 t="s">
        <v>81</v>
      </c>
      <c r="B28" s="19">
        <v>6.0</v>
      </c>
      <c r="C28" s="19">
        <v>6.0</v>
      </c>
      <c r="D28" s="25">
        <f t="shared" si="1"/>
        <v>12</v>
      </c>
      <c r="E28" s="19" t="s">
        <v>76</v>
      </c>
      <c r="F28" s="19"/>
      <c r="G28" s="19">
        <v>21.0</v>
      </c>
      <c r="H28" s="25" t="str">
        <f t="shared" si="2"/>
        <v>Standard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 t="s">
        <v>84</v>
      </c>
      <c r="B29" s="19">
        <v>5.0</v>
      </c>
      <c r="C29" s="19">
        <v>3.0</v>
      </c>
      <c r="D29" s="25">
        <f t="shared" si="1"/>
        <v>8</v>
      </c>
      <c r="E29" s="19" t="s">
        <v>76</v>
      </c>
      <c r="F29" s="19"/>
      <c r="G29" s="19">
        <v>37.0</v>
      </c>
      <c r="H29" s="25" t="str">
        <f t="shared" si="2"/>
        <v>Popular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 t="s">
        <v>86</v>
      </c>
      <c r="B30" s="19">
        <v>2.0</v>
      </c>
      <c r="C30" s="19">
        <v>2.0</v>
      </c>
      <c r="D30" s="25">
        <f t="shared" si="1"/>
        <v>4</v>
      </c>
      <c r="E30" s="19" t="s">
        <v>60</v>
      </c>
      <c r="F30" s="19" t="s">
        <v>87</v>
      </c>
      <c r="G30" s="19">
        <v>48.0</v>
      </c>
      <c r="H30" s="25" t="str">
        <f t="shared" si="2"/>
        <v>Popular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88</v>
      </c>
      <c r="B31" s="19">
        <v>2.0</v>
      </c>
      <c r="C31" s="19">
        <v>1.0</v>
      </c>
      <c r="D31" s="25">
        <f t="shared" si="1"/>
        <v>3</v>
      </c>
      <c r="E31" s="19" t="s">
        <v>60</v>
      </c>
      <c r="F31" s="19" t="s">
        <v>53</v>
      </c>
      <c r="G31" s="19">
        <v>45.0</v>
      </c>
      <c r="H31" s="25" t="str">
        <f t="shared" si="2"/>
        <v>Popular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 t="s">
        <v>90</v>
      </c>
      <c r="B32" s="19">
        <v>2.0</v>
      </c>
      <c r="C32" s="19">
        <v>2.0</v>
      </c>
      <c r="D32" s="25">
        <f t="shared" si="1"/>
        <v>4</v>
      </c>
      <c r="E32" s="19" t="s">
        <v>48</v>
      </c>
      <c r="F32" s="19"/>
      <c r="G32" s="19">
        <v>39.0</v>
      </c>
      <c r="H32" s="25" t="str">
        <f t="shared" si="2"/>
        <v>Popular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22" t="s">
        <v>41</v>
      </c>
      <c r="B35" s="22" t="s">
        <v>94</v>
      </c>
      <c r="C35" s="2"/>
      <c r="D35" s="2"/>
      <c r="E35" s="34" t="s">
        <v>95</v>
      </c>
      <c r="F35" s="35"/>
      <c r="G35" s="25">
        <f>COUNTA(E16:E32)</f>
        <v>17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9" t="s">
        <v>60</v>
      </c>
      <c r="B36" s="36">
        <f t="shared" ref="B36:B39" si="3">COUNTIF($E$16:$E$32,A36)</f>
        <v>5</v>
      </c>
      <c r="C36" s="2"/>
      <c r="D36" s="2"/>
      <c r="E36" s="34" t="s">
        <v>98</v>
      </c>
      <c r="F36" s="35"/>
      <c r="G36" s="2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9" t="s">
        <v>48</v>
      </c>
      <c r="B37" s="36">
        <f t="shared" si="3"/>
        <v>7</v>
      </c>
      <c r="C37" s="2"/>
      <c r="D37" s="2"/>
      <c r="E37" s="32"/>
      <c r="F37" s="3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9" t="s">
        <v>68</v>
      </c>
      <c r="B38" s="36">
        <f t="shared" si="3"/>
        <v>2</v>
      </c>
      <c r="C38" s="2"/>
      <c r="D38" s="2"/>
      <c r="E38" s="34" t="s">
        <v>101</v>
      </c>
      <c r="F38" s="35"/>
      <c r="G38" s="2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9" t="s">
        <v>76</v>
      </c>
      <c r="B39" s="36">
        <f t="shared" si="3"/>
        <v>3</v>
      </c>
      <c r="C39" s="2"/>
      <c r="D39" s="2"/>
      <c r="E39" s="34" t="s">
        <v>103</v>
      </c>
      <c r="F39" s="35"/>
      <c r="G39" s="2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2"/>
      <c r="F40" s="3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2" t="s">
        <v>42</v>
      </c>
      <c r="B41" s="22" t="s">
        <v>94</v>
      </c>
      <c r="C41" s="3"/>
      <c r="D41" s="3"/>
      <c r="E41" s="34" t="s">
        <v>104</v>
      </c>
      <c r="F41" s="35"/>
      <c r="G41" s="2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49</v>
      </c>
      <c r="B42" s="36">
        <f t="shared" ref="B42:B44" si="4">COUNTIF($F$16:F32,A42)</f>
        <v>4</v>
      </c>
      <c r="C42" s="3"/>
      <c r="D42" s="3"/>
      <c r="E42" s="34" t="s">
        <v>105</v>
      </c>
      <c r="F42" s="35"/>
      <c r="G42" s="2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 t="s">
        <v>87</v>
      </c>
      <c r="B43" s="36">
        <f t="shared" si="4"/>
        <v>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53</v>
      </c>
      <c r="B44" s="36">
        <f t="shared" si="4"/>
        <v>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7">
    <mergeCell ref="A1:H1"/>
    <mergeCell ref="A3:H3"/>
    <mergeCell ref="A4:H4"/>
    <mergeCell ref="A6:H6"/>
    <mergeCell ref="A7:H7"/>
    <mergeCell ref="A8:H8"/>
    <mergeCell ref="A9:H9"/>
    <mergeCell ref="E39:F39"/>
    <mergeCell ref="E41:F41"/>
    <mergeCell ref="E42:F42"/>
    <mergeCell ref="A10:H10"/>
    <mergeCell ref="A11:H11"/>
    <mergeCell ref="A12:H12"/>
    <mergeCell ref="A13:H13"/>
    <mergeCell ref="E35:F35"/>
    <mergeCell ref="E36:F36"/>
    <mergeCell ref="E38:F38"/>
  </mergeCells>
  <conditionalFormatting sqref="D16:D32">
    <cfRule type="cellIs" dxfId="1" priority="1" operator="equal">
      <formula>SUM($B$16:$C$16)</formula>
    </cfRule>
  </conditionalFormatting>
  <conditionalFormatting sqref="H16:H32">
    <cfRule type="containsText" dxfId="1" priority="2" operator="containsText" text="Popular">
      <formula>NOT(ISERROR(SEARCH(("Popular"),(H16))))</formula>
    </cfRule>
  </conditionalFormatting>
  <conditionalFormatting sqref="B36:B39">
    <cfRule type="cellIs" dxfId="1" priority="3" operator="equal">
      <formula>5</formula>
    </cfRule>
  </conditionalFormatting>
  <conditionalFormatting sqref="B42:B44">
    <cfRule type="cellIs" dxfId="1" priority="4" operator="equal">
      <formula>4</formula>
    </cfRule>
  </conditionalFormatting>
  <conditionalFormatting sqref="G35">
    <cfRule type="cellIs" dxfId="1" priority="5" operator="equal">
      <formula>17</formula>
    </cfRule>
  </conditionalFormatting>
  <conditionalFormatting sqref="G36">
    <cfRule type="cellIs" dxfId="1" priority="6" operator="equal">
      <formula>12</formula>
    </cfRule>
  </conditionalFormatting>
  <conditionalFormatting sqref="G38">
    <cfRule type="cellIs" dxfId="1" priority="7" operator="equal">
      <formula>9</formula>
    </cfRule>
  </conditionalFormatting>
  <conditionalFormatting sqref="G39">
    <cfRule type="cellIs" dxfId="1" priority="8" operator="equal">
      <formula>8</formula>
    </cfRule>
  </conditionalFormatting>
  <conditionalFormatting sqref="G41">
    <cfRule type="cellIs" dxfId="1" priority="9" operator="equal">
      <formula>55</formula>
    </cfRule>
  </conditionalFormatting>
  <conditionalFormatting sqref="G42">
    <cfRule type="cellIs" dxfId="1" priority="10" operator="equal">
      <formula>12</formula>
    </cfRule>
  </conditionalFormatting>
  <printOptions/>
  <pageMargins bottom="0.75" footer="0.0" header="0.0" left="0.7" right="0.7" top="0.75"/>
  <pageSetup paperSize="9" orientation="portrait"/>
  <drawing r:id="rId1"/>
</worksheet>
</file>