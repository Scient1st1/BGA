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1" sheetId="1" r:id="rId5"/>
  </sheets>
  <definedNames/>
  <calcPr/>
</workbook>
</file>

<file path=xl/sharedStrings.xml><?xml version="1.0" encoding="utf-8"?>
<sst xmlns="http://schemas.openxmlformats.org/spreadsheetml/2006/main" count="82" uniqueCount="42">
  <si>
    <t>Activity 5.1: The Atbash Cipher: manual encryption and decryption</t>
  </si>
  <si>
    <t>The alphabet is written twice, once forwards and once backwards. To encrypt a message, the original letter is identified in the plaintext row and the encrypted letter is taken from the cipertext row directly below it. The message 'DOG' becomes 'WLT'.</t>
  </si>
  <si>
    <t>Plaintext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</si>
  <si>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</si>
  <si>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</si>
  <si>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</si>
  <si>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</si>
  <si>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</si>
  <si>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</si>
  <si>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</si>
  <si>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</si>
  <si>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</si>
  <si>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</si>
  <si>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</si>
  <si>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</si>
  <si>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</si>
  <si>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</si>
  <si>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</si>
  <si>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</si>
  <si>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</si>
  <si>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</si>
  <si>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</si>
  <si>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</si>
  <si>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</si>
  <si>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</si>
  <si>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</si>
  <si>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</si>
  <si>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</si>
  <si>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</si>
  <si>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Ciphertext</t>
  </si>
  <si>
    <t>Encrypt these messages.</t>
  </si>
  <si>
    <t>Decrypt these messages.</t>
  </si>
  <si>
    <t>Plaintext:</t>
  </si>
  <si>
    <t>ATBASH</t>
  </si>
  <si>
    <t>Ciphertext:</t>
  </si>
  <si>
    <t>HVXIVG</t>
  </si>
  <si>
    <t>IS</t>
  </si>
  <si>
    <t>ILXPVG</t>
  </si>
  <si>
    <t>VERY</t>
  </si>
  <si>
    <t>RH</t>
  </si>
  <si>
    <t>OLD</t>
  </si>
  <si>
    <t>IVZWB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</si>
</sst>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Calibri"/>
    </font>
    <font>
      <b/>
      <sz val="20.0"/>
      <color theme="1"/>
      <name val="Calibri"/>
    </font>
    <font>
      <b/>
      <sz val="12.0"/>
      <color theme="1"/>
      <name val="Calibri"/>
    </font>
    <font/>
    <font>
      <sz val="12.0"/>
      <color rgb="FFC55A1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shrinkToFit="0" vertical="center" wrapText="1"/>
    </xf>
    <xf quotePrefix="1" borderId="2" fillId="2" fontId="1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ill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2" fillId="2" fontId="1" numFmtId="0" xfId="0" applyAlignment="1" applyBorder="1" applyFill="1" applyFont="1">
      <alignment horizontal="center" vertical="center"/>
    </xf>
    <xf borderId="12" fillId="0" fontId="4" numFmtId="0" xfId="0" applyBorder="1" applyFont="1"/>
    <xf borderId="2" fillId="2" fontId="1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28" width="5.0"/>
    <col customWidth="1" min="29" max="31" width="9.14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"/>
      <c r="AD2" s="1"/>
      <c r="AE2" s="1"/>
    </row>
    <row r="3" ht="39.0" customHeight="1">
      <c r="A3" s="4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/>
      <c r="AC3" s="4"/>
      <c r="AD3" s="4"/>
      <c r="AE3" s="4"/>
    </row>
    <row r="4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1.75" customHeight="1">
      <c r="A5" s="1"/>
      <c r="B5" s="8" t="s">
        <v>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10" t="s">
        <v>24</v>
      </c>
      <c r="Y5" s="10" t="s">
        <v>25</v>
      </c>
      <c r="Z5" s="10" t="s">
        <v>26</v>
      </c>
      <c r="AA5" s="10" t="s">
        <v>27</v>
      </c>
      <c r="AB5" s="11" t="s">
        <v>28</v>
      </c>
      <c r="AC5" s="1"/>
      <c r="AD5" s="1"/>
      <c r="AE5" s="1"/>
    </row>
    <row r="6" ht="21.75" customHeight="1">
      <c r="A6" s="1"/>
      <c r="B6" s="12" t="s">
        <v>29</v>
      </c>
      <c r="C6" s="13" t="s">
        <v>28</v>
      </c>
      <c r="D6" s="14" t="s">
        <v>27</v>
      </c>
      <c r="E6" s="14" t="s">
        <v>26</v>
      </c>
      <c r="F6" s="14" t="s">
        <v>25</v>
      </c>
      <c r="G6" s="14" t="s">
        <v>24</v>
      </c>
      <c r="H6" s="14" t="s">
        <v>23</v>
      </c>
      <c r="I6" s="14" t="s">
        <v>22</v>
      </c>
      <c r="J6" s="14" t="s">
        <v>21</v>
      </c>
      <c r="K6" s="14" t="s">
        <v>20</v>
      </c>
      <c r="L6" s="14" t="s">
        <v>19</v>
      </c>
      <c r="M6" s="14" t="s">
        <v>18</v>
      </c>
      <c r="N6" s="14" t="s">
        <v>17</v>
      </c>
      <c r="O6" s="14" t="s">
        <v>16</v>
      </c>
      <c r="P6" s="14" t="s">
        <v>15</v>
      </c>
      <c r="Q6" s="14" t="s">
        <v>14</v>
      </c>
      <c r="R6" s="14" t="s">
        <v>13</v>
      </c>
      <c r="S6" s="14" t="s">
        <v>12</v>
      </c>
      <c r="T6" s="14" t="s">
        <v>11</v>
      </c>
      <c r="U6" s="14" t="s">
        <v>10</v>
      </c>
      <c r="V6" s="14" t="s">
        <v>9</v>
      </c>
      <c r="W6" s="14" t="s">
        <v>8</v>
      </c>
      <c r="X6" s="14" t="s">
        <v>7</v>
      </c>
      <c r="Y6" s="14" t="s">
        <v>6</v>
      </c>
      <c r="Z6" s="14" t="s">
        <v>5</v>
      </c>
      <c r="AA6" s="14" t="s">
        <v>4</v>
      </c>
      <c r="AB6" s="15" t="s">
        <v>3</v>
      </c>
      <c r="AC6" s="1"/>
      <c r="AD6" s="1"/>
      <c r="AE6" s="1"/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21.75" customHeight="1">
      <c r="A8" s="1"/>
      <c r="B8" s="16" t="s">
        <v>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6" t="s">
        <v>31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21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21.75" customHeight="1">
      <c r="A10" s="1"/>
      <c r="B10" s="1" t="s">
        <v>32</v>
      </c>
      <c r="C10" s="17" t="s">
        <v>33</v>
      </c>
      <c r="D10" s="18"/>
      <c r="E10" s="19"/>
      <c r="F10" s="20" t="s">
        <v>34</v>
      </c>
      <c r="G10" s="6"/>
      <c r="H10" s="21"/>
      <c r="I10" s="17"/>
      <c r="J10" s="18"/>
      <c r="K10" s="19"/>
      <c r="L10" s="1"/>
      <c r="M10" s="20" t="str">
        <f>IF(I10="ZGYZHS","Correct","")</f>
        <v/>
      </c>
      <c r="N10" s="6"/>
      <c r="O10" s="7"/>
      <c r="P10" s="1"/>
      <c r="Q10" s="22" t="s">
        <v>34</v>
      </c>
      <c r="R10" s="6"/>
      <c r="S10" s="21"/>
      <c r="T10" s="17" t="s">
        <v>35</v>
      </c>
      <c r="U10" s="18"/>
      <c r="V10" s="19"/>
      <c r="W10" s="20" t="s">
        <v>32</v>
      </c>
      <c r="X10" s="6"/>
      <c r="Y10" s="7"/>
      <c r="Z10" s="17"/>
      <c r="AA10" s="18"/>
      <c r="AB10" s="19"/>
      <c r="AC10" s="1"/>
      <c r="AD10" s="20" t="str">
        <f>IF(Z10="SECRET","Correct","")</f>
        <v/>
      </c>
      <c r="AE10" s="7"/>
    </row>
    <row r="11" ht="21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21.75" customHeight="1">
      <c r="A12" s="1"/>
      <c r="B12" s="1" t="s">
        <v>32</v>
      </c>
      <c r="C12" s="17" t="s">
        <v>36</v>
      </c>
      <c r="D12" s="18"/>
      <c r="E12" s="19"/>
      <c r="F12" s="20" t="s">
        <v>34</v>
      </c>
      <c r="G12" s="6"/>
      <c r="H12" s="21"/>
      <c r="I12" s="17"/>
      <c r="J12" s="18"/>
      <c r="K12" s="19"/>
      <c r="L12" s="1"/>
      <c r="M12" s="20" t="str">
        <f>IF(I12="RH","Correct","")</f>
        <v/>
      </c>
      <c r="N12" s="6"/>
      <c r="O12" s="7"/>
      <c r="P12" s="1"/>
      <c r="Q12" s="22" t="s">
        <v>34</v>
      </c>
      <c r="R12" s="6"/>
      <c r="S12" s="21"/>
      <c r="T12" s="17" t="s">
        <v>37</v>
      </c>
      <c r="U12" s="18"/>
      <c r="V12" s="19"/>
      <c r="W12" s="23" t="s">
        <v>32</v>
      </c>
      <c r="X12" s="6"/>
      <c r="Y12" s="7"/>
      <c r="Z12" s="17"/>
      <c r="AA12" s="18"/>
      <c r="AB12" s="19"/>
      <c r="AC12" s="1"/>
      <c r="AD12" s="20" t="str">
        <f>IF(Z12="ROCKET","Correct","")</f>
        <v/>
      </c>
      <c r="AE12" s="7"/>
    </row>
    <row r="13" ht="21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21.75" customHeight="1">
      <c r="A14" s="1"/>
      <c r="B14" s="1" t="s">
        <v>32</v>
      </c>
      <c r="C14" s="17" t="s">
        <v>38</v>
      </c>
      <c r="D14" s="18"/>
      <c r="E14" s="19"/>
      <c r="F14" s="20" t="s">
        <v>34</v>
      </c>
      <c r="G14" s="6"/>
      <c r="H14" s="21"/>
      <c r="I14" s="17"/>
      <c r="J14" s="18"/>
      <c r="K14" s="19"/>
      <c r="L14" s="1"/>
      <c r="M14" s="20" t="str">
        <f>IF(I14="EVIB","Correct","")</f>
        <v/>
      </c>
      <c r="N14" s="6"/>
      <c r="O14" s="7"/>
      <c r="P14" s="1"/>
      <c r="Q14" s="22" t="s">
        <v>34</v>
      </c>
      <c r="R14" s="6"/>
      <c r="S14" s="21"/>
      <c r="T14" s="17" t="s">
        <v>39</v>
      </c>
      <c r="U14" s="18"/>
      <c r="V14" s="19"/>
      <c r="W14" s="20" t="s">
        <v>32</v>
      </c>
      <c r="X14" s="6"/>
      <c r="Y14" s="7"/>
      <c r="Z14" s="17"/>
      <c r="AA14" s="18"/>
      <c r="AB14" s="19"/>
      <c r="AC14" s="1"/>
      <c r="AD14" s="20" t="str">
        <f>IF(Z14="IS","Correct","")</f>
        <v/>
      </c>
      <c r="AE14" s="7"/>
    </row>
    <row r="15" ht="21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21.75" customHeight="1">
      <c r="A16" s="1"/>
      <c r="B16" s="1" t="s">
        <v>32</v>
      </c>
      <c r="C16" s="17" t="s">
        <v>40</v>
      </c>
      <c r="D16" s="18"/>
      <c r="E16" s="19"/>
      <c r="F16" s="20" t="s">
        <v>34</v>
      </c>
      <c r="G16" s="6"/>
      <c r="H16" s="21"/>
      <c r="I16" s="17"/>
      <c r="J16" s="18"/>
      <c r="K16" s="19"/>
      <c r="L16" s="1"/>
      <c r="M16" s="20" t="str">
        <f>IF(I16="LOW","Correct","")</f>
        <v/>
      </c>
      <c r="N16" s="6"/>
      <c r="O16" s="7"/>
      <c r="P16" s="1"/>
      <c r="Q16" s="22" t="s">
        <v>34</v>
      </c>
      <c r="R16" s="6"/>
      <c r="S16" s="21"/>
      <c r="T16" s="17" t="s">
        <v>41</v>
      </c>
      <c r="U16" s="18"/>
      <c r="V16" s="19"/>
      <c r="W16" s="23" t="s">
        <v>32</v>
      </c>
      <c r="X16" s="6"/>
      <c r="Y16" s="7"/>
      <c r="Z16" s="17"/>
      <c r="AA16" s="18"/>
      <c r="AB16" s="19"/>
      <c r="AC16" s="1"/>
      <c r="AD16" s="20" t="str">
        <f>IF(Z16="READY","Correct","")</f>
        <v/>
      </c>
      <c r="AE16" s="7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21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21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1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21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21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37">
    <mergeCell ref="W10:Y10"/>
    <mergeCell ref="Z10:AB10"/>
    <mergeCell ref="AD10:AE10"/>
    <mergeCell ref="B3:AB3"/>
    <mergeCell ref="C10:E10"/>
    <mergeCell ref="F10:H10"/>
    <mergeCell ref="I10:K10"/>
    <mergeCell ref="M10:O10"/>
    <mergeCell ref="Q10:S10"/>
    <mergeCell ref="T10:V10"/>
    <mergeCell ref="Z12:AB12"/>
    <mergeCell ref="AD12:AE12"/>
    <mergeCell ref="C12:E12"/>
    <mergeCell ref="F12:H12"/>
    <mergeCell ref="I12:K12"/>
    <mergeCell ref="M12:O12"/>
    <mergeCell ref="Q12:S12"/>
    <mergeCell ref="T12:V12"/>
    <mergeCell ref="W12:Y12"/>
    <mergeCell ref="Z14:AB14"/>
    <mergeCell ref="AD14:AE14"/>
    <mergeCell ref="C14:E14"/>
    <mergeCell ref="F14:H14"/>
    <mergeCell ref="I14:K14"/>
    <mergeCell ref="M14:O14"/>
    <mergeCell ref="Q14:S14"/>
    <mergeCell ref="T14:V14"/>
    <mergeCell ref="W14:Y14"/>
    <mergeCell ref="Z16:AB16"/>
    <mergeCell ref="AD16:AE16"/>
    <mergeCell ref="C16:E16"/>
    <mergeCell ref="F16:H16"/>
    <mergeCell ref="I16:K16"/>
    <mergeCell ref="M16:O16"/>
    <mergeCell ref="Q16:S16"/>
    <mergeCell ref="T16:V16"/>
    <mergeCell ref="W16:Y16"/>
  </mergeCells>
  <conditionalFormatting sqref="M10">
    <cfRule type="cellIs" dxfId="0" priority="1" operator="equal">
      <formula>"Correct"</formula>
    </cfRule>
  </conditionalFormatting>
  <conditionalFormatting sqref="AD10:AE10 AD12:AE12 AD14:AE14 AD16:AE16">
    <cfRule type="cellIs" dxfId="0" priority="2" operator="equal">
      <formula>"Correct"</formula>
    </cfRule>
  </conditionalFormatting>
  <conditionalFormatting sqref="M12">
    <cfRule type="cellIs" dxfId="0" priority="3" operator="equal">
      <formula>"Correct"</formula>
    </cfRule>
  </conditionalFormatting>
  <conditionalFormatting sqref="M14">
    <cfRule type="cellIs" dxfId="0" priority="4" operator="equal">
      <formula>"Correct"</formula>
    </cfRule>
  </conditionalFormatting>
  <conditionalFormatting sqref="M16">
    <cfRule type="cellIs" dxfId="0" priority="5" operator="equal">
      <formula>"Correct"</formula>
    </cfRule>
  </conditionalFormatting>
  <printOptions/>
  <pageMargins bottom="0.75" footer="0.0" header="0.0" left="0.7" right="0.7" top="0.75"/>
  <pageSetup paperSize="9" orientation="portrait"/>
  <drawing r:id="rId1"/>
</worksheet>
</file>