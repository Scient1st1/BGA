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5.3" sheetId="1" r:id="rId5"/>
  </sheets>
  <definedNames/>
  <calcPr/>
</workbook>
</file>

<file path=xl/sharedStrings.xml><?xml version="1.0" encoding="utf-8"?>
<sst xmlns="http://schemas.openxmlformats.org/spreadsheetml/2006/main" count="63" uniqueCount="53">
  <si>
    <t>Activity 5.3: The Caesar Cipher: manual encryption and decryption</t>
  </si>
  <si>
    <t>Key</t>
  </si>
  <si>
    <t>←</t>
  </si>
  <si>
    <t>Change the key to see the new ciphertext.</t>
  </si>
  <si>
    <t>Plaintext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</si>
  <si>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</si>
  <si>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</si>
  <si>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</si>
  <si>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</si>
  <si>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</si>
  <si>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</si>
  <si>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</si>
  <si>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</si>
  <si>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</si>
  <si>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</si>
  <si>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</si>
  <si>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</si>
  <si>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</si>
  <si>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</si>
  <si>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</si>
  <si>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</si>
  <si>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</si>
  <si>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</si>
  <si>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</si>
  <si>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</si>
  <si>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</si>
  <si>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</si>
  <si>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</si>
  <si>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</si>
  <si>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</si>
  <si>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</si>
  <si>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Value</t>
  </si>
  <si>
    <t>Shifted Value</t>
  </si>
  <si>
    <t>Adjusted Value</t>
  </si>
  <si>
    <t>Ciphertext</t>
  </si>
  <si>
    <t>To encrypt a message, find each plaintext letter in the top row and write down the corresponding letter below it.</t>
  </si>
  <si>
    <t>To decrypt a letter, find each ciphertext letter in the bottom row and write down the corresponding letter above it.</t>
  </si>
  <si>
    <t>Encrypt these messages.</t>
  </si>
  <si>
    <t>Decrypt these messages.</t>
  </si>
  <si>
    <t>Key: 3</t>
  </si>
  <si>
    <t>Key: 9</t>
  </si>
  <si>
    <t>Plaintext:</t>
  </si>
  <si>
    <t>CATS</t>
  </si>
  <si>
    <t>Ciphertext:</t>
  </si>
  <si>
    <t>ODNU</t>
  </si>
  <si>
    <t>Key: 7</t>
  </si>
  <si>
    <t>Key: 16</t>
  </si>
  <si>
    <t>ARE</t>
  </si>
  <si>
    <t>YI</t>
  </si>
  <si>
    <t>Key: 13</t>
  </si>
  <si>
    <t>Key: 25</t>
  </si>
  <si>
    <t>CUTE</t>
  </si>
  <si>
    <t>QDZCX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</si>
</sst>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2.0"/>
      <color theme="1"/>
      <name val="Calibri"/>
    </font>
    <font>
      <b/>
      <sz val="20.0"/>
      <color theme="1"/>
      <name val="Calibri"/>
    </font>
    <font/>
    <font>
      <b/>
      <sz val="12.0"/>
      <color theme="1"/>
      <name val="Calibri"/>
    </font>
    <font>
      <sz val="12.0"/>
      <color rgb="FFC55A1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</fills>
  <borders count="2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ill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left" vertical="center"/>
    </xf>
    <xf borderId="5" fillId="4" fontId="4" numFmtId="0" xfId="0" applyAlignment="1" applyBorder="1" applyFill="1" applyFont="1">
      <alignment horizontal="center" vertical="center"/>
    </xf>
    <xf borderId="7" fillId="4" fontId="4" numFmtId="0" xfId="0" applyAlignment="1" applyBorder="1" applyFill="1" applyFont="1">
      <alignment horizontal="center" vertical="center"/>
    </xf>
    <xf borderId="8" fillId="4" fontId="4" numFmtId="0" xfId="0" applyAlignment="1" applyBorder="1" applyFill="1" applyFont="1">
      <alignment horizontal="center" vertical="center"/>
    </xf>
    <xf borderId="9" fillId="4" fontId="4" numFmtId="0" xfId="0" applyAlignment="1" applyBorder="1" applyFill="1" applyFont="1">
      <alignment horizontal="center" vertical="center"/>
    </xf>
    <xf borderId="10" fillId="2" fontId="1" numFmtId="0" xfId="0" applyAlignment="1" applyBorder="1" applyFill="1" applyFont="1">
      <alignment horizontal="center" vertical="center"/>
    </xf>
    <xf borderId="11" fillId="2" fontId="1" numFmtId="0" xfId="0" applyAlignment="1" applyBorder="1" applyFill="1" applyFont="1">
      <alignment horizontal="center" vertical="center"/>
    </xf>
    <xf borderId="12" fillId="2" fontId="1" numFmtId="0" xfId="0" applyAlignment="1" applyBorder="1" applyFill="1" applyFont="1">
      <alignment horizontal="center" vertical="center"/>
    </xf>
    <xf borderId="13" fillId="2" fontId="1" numFmtId="0" xfId="0" applyAlignment="1" applyBorder="1" applyFill="1" applyFont="1">
      <alignment horizontal="center" vertical="center"/>
    </xf>
    <xf borderId="14" fillId="2" fontId="1" numFmtId="0" xfId="0" applyAlignment="1" applyBorder="1" applyFill="1" applyFont="1">
      <alignment horizontal="center" vertical="center"/>
    </xf>
    <xf borderId="15" fillId="2" fontId="1" numFmtId="0" xfId="0" applyAlignment="1" applyBorder="1" applyFill="1" applyFont="1">
      <alignment horizontal="center" vertical="center"/>
    </xf>
    <xf borderId="16" fillId="2" fontId="1" numFmtId="0" xfId="0" applyAlignment="1" applyBorder="1" applyFill="1" applyFont="1">
      <alignment horizontal="center" vertical="center"/>
    </xf>
    <xf borderId="17" fillId="2" fontId="1" numFmtId="0" xfId="0" applyAlignment="1" applyBorder="1" applyFill="1" applyFont="1">
      <alignment horizontal="center" vertical="center"/>
    </xf>
    <xf borderId="18" fillId="2" fontId="1" numFmtId="0" xfId="0" applyAlignment="1" applyBorder="1" applyFill="1" applyFont="1">
      <alignment horizontal="center" vertical="center"/>
    </xf>
    <xf borderId="19" fillId="2" fontId="1" numFmtId="0" xfId="0" applyAlignment="1" applyBorder="1" applyFill="1" applyFont="1">
      <alignment horizontal="center" vertical="center"/>
    </xf>
    <xf borderId="20" fillId="2" fontId="1" numFmtId="0" xfId="0" applyAlignment="1" applyBorder="1" applyFill="1" applyFont="1">
      <alignment horizontal="center" vertical="center"/>
    </xf>
    <xf borderId="21" fillId="2" fontId="1" numFmtId="0" xfId="0" applyAlignment="1" applyBorder="1" applyFill="1" applyFont="1">
      <alignment horizontal="center" vertical="center"/>
    </xf>
    <xf borderId="5" fillId="5" fontId="4" numFmtId="0" xfId="0" applyAlignment="1" applyBorder="1" applyFill="1" applyFont="1">
      <alignment horizontal="center" vertical="center"/>
    </xf>
    <xf borderId="7" fillId="5" fontId="4" numFmtId="0" xfId="0" applyAlignment="1" applyBorder="1" applyFill="1" applyFont="1">
      <alignment horizontal="center" vertical="center"/>
    </xf>
    <xf borderId="8" fillId="5" fontId="4" numFmtId="0" xfId="0" applyAlignment="1" applyBorder="1" applyFill="1" applyFont="1">
      <alignment horizontal="center" vertical="center"/>
    </xf>
    <xf borderId="9" fillId="5" fontId="4" numFmtId="0" xfId="0" applyAlignment="1" applyBorder="1" applyFill="1" applyFont="1">
      <alignment horizontal="center" vertical="center"/>
    </xf>
    <xf borderId="0" fillId="0" fontId="1" numFmtId="0" xfId="0" applyFont="1"/>
    <xf borderId="1" fillId="2" fontId="5" numFmtId="0" xfId="0" applyAlignment="1" applyBorder="1" applyFill="1" applyFont="1">
      <alignment horizontal="left" vertical="center"/>
    </xf>
    <xf borderId="2" fillId="2" fontId="1" numFmtId="0" xfId="0" applyAlignment="1" applyBorder="1" applyFill="1" applyFont="1">
      <alignment horizontal="left" vertical="center"/>
    </xf>
    <xf borderId="22" fillId="2" fontId="1" numFmtId="0" xfId="0" applyAlignment="1" applyBorder="1" applyFill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" fillId="2" fontId="1" numFmtId="0" xfId="0" applyAlignment="1" applyBorder="1" applyFill="1" applyFont="1">
      <alignment horizontal="center" vertical="center"/>
    </xf>
    <xf borderId="25" fillId="0" fontId="3" numFmtId="0" xfId="0" applyBorder="1" applyFont="1"/>
    <xf borderId="26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57"/>
    <col customWidth="1" min="3" max="28" width="5.0"/>
    <col customWidth="1" min="29" max="31" width="9.14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21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1"/>
      <c r="AE2" s="1"/>
    </row>
    <row r="3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21.75" customHeight="1">
      <c r="A4" s="1"/>
      <c r="B4" s="5" t="s">
        <v>1</v>
      </c>
      <c r="C4" s="6">
        <v>0.0</v>
      </c>
      <c r="D4" s="1"/>
      <c r="E4" s="1" t="s">
        <v>2</v>
      </c>
      <c r="F4" s="7" t="s">
        <v>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21.75" customHeight="1">
      <c r="A6" s="1"/>
      <c r="B6" s="8" t="s">
        <v>4</v>
      </c>
      <c r="C6" s="9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  <c r="P6" s="10" t="s">
        <v>18</v>
      </c>
      <c r="Q6" s="10" t="s">
        <v>19</v>
      </c>
      <c r="R6" s="10" t="s">
        <v>20</v>
      </c>
      <c r="S6" s="10" t="s">
        <v>21</v>
      </c>
      <c r="T6" s="10" t="s">
        <v>22</v>
      </c>
      <c r="U6" s="10" t="s">
        <v>23</v>
      </c>
      <c r="V6" s="10" t="s">
        <v>24</v>
      </c>
      <c r="W6" s="10" t="s">
        <v>25</v>
      </c>
      <c r="X6" s="10" t="s">
        <v>26</v>
      </c>
      <c r="Y6" s="10" t="s">
        <v>27</v>
      </c>
      <c r="Z6" s="10" t="s">
        <v>28</v>
      </c>
      <c r="AA6" s="10" t="s">
        <v>29</v>
      </c>
      <c r="AB6" s="11" t="s">
        <v>30</v>
      </c>
      <c r="AC6" s="1"/>
      <c r="AD6" s="1"/>
      <c r="AE6" s="1"/>
    </row>
    <row r="7" ht="21.75" hidden="1" customHeight="1">
      <c r="A7" s="1"/>
      <c r="B7" s="12" t="s">
        <v>31</v>
      </c>
      <c r="C7" s="13">
        <f t="shared" ref="C7:AB7" si="1">CODE(C6)</f>
        <v>65</v>
      </c>
      <c r="D7" s="14">
        <f t="shared" si="1"/>
        <v>66</v>
      </c>
      <c r="E7" s="14">
        <f t="shared" si="1"/>
        <v>67</v>
      </c>
      <c r="F7" s="14">
        <f t="shared" si="1"/>
        <v>68</v>
      </c>
      <c r="G7" s="14">
        <f t="shared" si="1"/>
        <v>69</v>
      </c>
      <c r="H7" s="14">
        <f t="shared" si="1"/>
        <v>70</v>
      </c>
      <c r="I7" s="14">
        <f t="shared" si="1"/>
        <v>71</v>
      </c>
      <c r="J7" s="14">
        <f t="shared" si="1"/>
        <v>72</v>
      </c>
      <c r="K7" s="14">
        <f t="shared" si="1"/>
        <v>73</v>
      </c>
      <c r="L7" s="14">
        <f t="shared" si="1"/>
        <v>74</v>
      </c>
      <c r="M7" s="14">
        <f t="shared" si="1"/>
        <v>75</v>
      </c>
      <c r="N7" s="14">
        <f t="shared" si="1"/>
        <v>76</v>
      </c>
      <c r="O7" s="14">
        <f t="shared" si="1"/>
        <v>77</v>
      </c>
      <c r="P7" s="14">
        <f t="shared" si="1"/>
        <v>78</v>
      </c>
      <c r="Q7" s="14">
        <f t="shared" si="1"/>
        <v>79</v>
      </c>
      <c r="R7" s="14">
        <f t="shared" si="1"/>
        <v>80</v>
      </c>
      <c r="S7" s="14">
        <f t="shared" si="1"/>
        <v>81</v>
      </c>
      <c r="T7" s="14">
        <f t="shared" si="1"/>
        <v>82</v>
      </c>
      <c r="U7" s="14">
        <f t="shared" si="1"/>
        <v>83</v>
      </c>
      <c r="V7" s="14">
        <f t="shared" si="1"/>
        <v>84</v>
      </c>
      <c r="W7" s="14">
        <f t="shared" si="1"/>
        <v>85</v>
      </c>
      <c r="X7" s="14">
        <f t="shared" si="1"/>
        <v>86</v>
      </c>
      <c r="Y7" s="14">
        <f t="shared" si="1"/>
        <v>87</v>
      </c>
      <c r="Z7" s="14">
        <f t="shared" si="1"/>
        <v>88</v>
      </c>
      <c r="AA7" s="14">
        <f t="shared" si="1"/>
        <v>89</v>
      </c>
      <c r="AB7" s="15">
        <f t="shared" si="1"/>
        <v>90</v>
      </c>
      <c r="AC7" s="1"/>
      <c r="AD7" s="1"/>
      <c r="AE7" s="1"/>
    </row>
    <row r="8" ht="21.75" hidden="1" customHeight="1">
      <c r="A8" s="1"/>
      <c r="B8" s="16" t="s">
        <v>32</v>
      </c>
      <c r="C8" s="17">
        <f t="shared" ref="C8:AB8" si="2">C7+$C4</f>
        <v>65</v>
      </c>
      <c r="D8" s="18">
        <f t="shared" si="2"/>
        <v>66</v>
      </c>
      <c r="E8" s="18">
        <f t="shared" si="2"/>
        <v>67</v>
      </c>
      <c r="F8" s="18">
        <f t="shared" si="2"/>
        <v>68</v>
      </c>
      <c r="G8" s="18">
        <f t="shared" si="2"/>
        <v>69</v>
      </c>
      <c r="H8" s="18">
        <f t="shared" si="2"/>
        <v>70</v>
      </c>
      <c r="I8" s="18">
        <f t="shared" si="2"/>
        <v>71</v>
      </c>
      <c r="J8" s="18">
        <f t="shared" si="2"/>
        <v>72</v>
      </c>
      <c r="K8" s="18">
        <f t="shared" si="2"/>
        <v>73</v>
      </c>
      <c r="L8" s="18">
        <f t="shared" si="2"/>
        <v>74</v>
      </c>
      <c r="M8" s="18">
        <f t="shared" si="2"/>
        <v>75</v>
      </c>
      <c r="N8" s="18">
        <f t="shared" si="2"/>
        <v>76</v>
      </c>
      <c r="O8" s="18">
        <f t="shared" si="2"/>
        <v>77</v>
      </c>
      <c r="P8" s="18">
        <f t="shared" si="2"/>
        <v>78</v>
      </c>
      <c r="Q8" s="18">
        <f t="shared" si="2"/>
        <v>79</v>
      </c>
      <c r="R8" s="18">
        <f t="shared" si="2"/>
        <v>80</v>
      </c>
      <c r="S8" s="18">
        <f t="shared" si="2"/>
        <v>81</v>
      </c>
      <c r="T8" s="18">
        <f t="shared" si="2"/>
        <v>82</v>
      </c>
      <c r="U8" s="18">
        <f t="shared" si="2"/>
        <v>83</v>
      </c>
      <c r="V8" s="18">
        <f t="shared" si="2"/>
        <v>84</v>
      </c>
      <c r="W8" s="18">
        <f t="shared" si="2"/>
        <v>85</v>
      </c>
      <c r="X8" s="18">
        <f t="shared" si="2"/>
        <v>86</v>
      </c>
      <c r="Y8" s="18">
        <f t="shared" si="2"/>
        <v>87</v>
      </c>
      <c r="Z8" s="18">
        <f t="shared" si="2"/>
        <v>88</v>
      </c>
      <c r="AA8" s="18">
        <f t="shared" si="2"/>
        <v>89</v>
      </c>
      <c r="AB8" s="19">
        <f t="shared" si="2"/>
        <v>90</v>
      </c>
      <c r="AC8" s="1"/>
      <c r="AD8" s="1"/>
      <c r="AE8" s="1"/>
    </row>
    <row r="9" ht="21.75" hidden="1" customHeight="1">
      <c r="A9" s="1"/>
      <c r="B9" s="20" t="s">
        <v>33</v>
      </c>
      <c r="C9" s="21">
        <f t="shared" ref="C9:AB9" si="3">IF(C8&gt;90,C8-26,C8)</f>
        <v>65</v>
      </c>
      <c r="D9" s="22">
        <f t="shared" si="3"/>
        <v>66</v>
      </c>
      <c r="E9" s="22">
        <f t="shared" si="3"/>
        <v>67</v>
      </c>
      <c r="F9" s="22">
        <f t="shared" si="3"/>
        <v>68</v>
      </c>
      <c r="G9" s="22">
        <f t="shared" si="3"/>
        <v>69</v>
      </c>
      <c r="H9" s="22">
        <f t="shared" si="3"/>
        <v>70</v>
      </c>
      <c r="I9" s="22">
        <f t="shared" si="3"/>
        <v>71</v>
      </c>
      <c r="J9" s="22">
        <f t="shared" si="3"/>
        <v>72</v>
      </c>
      <c r="K9" s="22">
        <f t="shared" si="3"/>
        <v>73</v>
      </c>
      <c r="L9" s="22">
        <f t="shared" si="3"/>
        <v>74</v>
      </c>
      <c r="M9" s="22">
        <f t="shared" si="3"/>
        <v>75</v>
      </c>
      <c r="N9" s="22">
        <f t="shared" si="3"/>
        <v>76</v>
      </c>
      <c r="O9" s="22">
        <f t="shared" si="3"/>
        <v>77</v>
      </c>
      <c r="P9" s="22">
        <f t="shared" si="3"/>
        <v>78</v>
      </c>
      <c r="Q9" s="22">
        <f t="shared" si="3"/>
        <v>79</v>
      </c>
      <c r="R9" s="22">
        <f t="shared" si="3"/>
        <v>80</v>
      </c>
      <c r="S9" s="22">
        <f t="shared" si="3"/>
        <v>81</v>
      </c>
      <c r="T9" s="22">
        <f t="shared" si="3"/>
        <v>82</v>
      </c>
      <c r="U9" s="22">
        <f t="shared" si="3"/>
        <v>83</v>
      </c>
      <c r="V9" s="22">
        <f t="shared" si="3"/>
        <v>84</v>
      </c>
      <c r="W9" s="22">
        <f t="shared" si="3"/>
        <v>85</v>
      </c>
      <c r="X9" s="22">
        <f t="shared" si="3"/>
        <v>86</v>
      </c>
      <c r="Y9" s="22">
        <f t="shared" si="3"/>
        <v>87</v>
      </c>
      <c r="Z9" s="22">
        <f t="shared" si="3"/>
        <v>88</v>
      </c>
      <c r="AA9" s="22">
        <f t="shared" si="3"/>
        <v>89</v>
      </c>
      <c r="AB9" s="23">
        <f t="shared" si="3"/>
        <v>90</v>
      </c>
      <c r="AC9" s="1"/>
      <c r="AD9" s="1"/>
      <c r="AE9" s="1"/>
    </row>
    <row r="10" ht="21.75" customHeight="1">
      <c r="A10" s="1"/>
      <c r="B10" s="24" t="s">
        <v>34</v>
      </c>
      <c r="C10" s="25" t="str">
        <f t="shared" ref="C10:AB10" si="4">CHAR(C9)</f>
        <v>A</v>
      </c>
      <c r="D10" s="26" t="str">
        <f t="shared" si="4"/>
        <v>B</v>
      </c>
      <c r="E10" s="26" t="str">
        <f t="shared" si="4"/>
        <v>C</v>
      </c>
      <c r="F10" s="26" t="str">
        <f t="shared" si="4"/>
        <v>D</v>
      </c>
      <c r="G10" s="26" t="str">
        <f t="shared" si="4"/>
        <v>E</v>
      </c>
      <c r="H10" s="26" t="str">
        <f t="shared" si="4"/>
        <v>F</v>
      </c>
      <c r="I10" s="26" t="str">
        <f t="shared" si="4"/>
        <v>G</v>
      </c>
      <c r="J10" s="26" t="str">
        <f t="shared" si="4"/>
        <v>H</v>
      </c>
      <c r="K10" s="26" t="str">
        <f t="shared" si="4"/>
        <v>I</v>
      </c>
      <c r="L10" s="26" t="str">
        <f t="shared" si="4"/>
        <v>J</v>
      </c>
      <c r="M10" s="26" t="str">
        <f t="shared" si="4"/>
        <v>K</v>
      </c>
      <c r="N10" s="26" t="str">
        <f t="shared" si="4"/>
        <v>L</v>
      </c>
      <c r="O10" s="26" t="str">
        <f t="shared" si="4"/>
        <v>M</v>
      </c>
      <c r="P10" s="26" t="str">
        <f t="shared" si="4"/>
        <v>N</v>
      </c>
      <c r="Q10" s="26" t="str">
        <f t="shared" si="4"/>
        <v>O</v>
      </c>
      <c r="R10" s="26" t="str">
        <f t="shared" si="4"/>
        <v>P</v>
      </c>
      <c r="S10" s="26" t="str">
        <f t="shared" si="4"/>
        <v>Q</v>
      </c>
      <c r="T10" s="26" t="str">
        <f t="shared" si="4"/>
        <v>R</v>
      </c>
      <c r="U10" s="26" t="str">
        <f t="shared" si="4"/>
        <v>S</v>
      </c>
      <c r="V10" s="26" t="str">
        <f t="shared" si="4"/>
        <v>T</v>
      </c>
      <c r="W10" s="26" t="str">
        <f t="shared" si="4"/>
        <v>U</v>
      </c>
      <c r="X10" s="26" t="str">
        <f t="shared" si="4"/>
        <v>V</v>
      </c>
      <c r="Y10" s="26" t="str">
        <f t="shared" si="4"/>
        <v>W</v>
      </c>
      <c r="Z10" s="26" t="str">
        <f t="shared" si="4"/>
        <v>X</v>
      </c>
      <c r="AA10" s="26" t="str">
        <f t="shared" si="4"/>
        <v>Y</v>
      </c>
      <c r="AB10" s="27" t="str">
        <f t="shared" si="4"/>
        <v>Z</v>
      </c>
      <c r="AC10" s="1"/>
      <c r="AD10" s="1"/>
      <c r="AE10" s="1"/>
    </row>
    <row r="11" ht="21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21.75" customHeight="1">
      <c r="A12" s="1"/>
      <c r="B12" s="28" t="s">
        <v>35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21.75" customHeight="1">
      <c r="A13" s="1"/>
      <c r="B13" s="7" t="s">
        <v>36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21.75" customHeight="1">
      <c r="A14" s="1"/>
      <c r="B14" s="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21.75" customHeight="1">
      <c r="A15" s="1"/>
      <c r="B15" s="29" t="s">
        <v>37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29" t="s">
        <v>38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21.75" customHeight="1">
      <c r="A16" s="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21.75" customHeight="1">
      <c r="A17" s="1"/>
      <c r="B17" s="7" t="s">
        <v>39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30" t="s">
        <v>40</v>
      </c>
      <c r="R17" s="3"/>
      <c r="S17" s="4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21.75" customHeight="1">
      <c r="A18" s="1"/>
      <c r="B18" s="7" t="s">
        <v>41</v>
      </c>
      <c r="C18" s="31" t="s">
        <v>42</v>
      </c>
      <c r="D18" s="32"/>
      <c r="E18" s="33"/>
      <c r="F18" s="34" t="s">
        <v>43</v>
      </c>
      <c r="G18" s="3"/>
      <c r="H18" s="35"/>
      <c r="I18" s="31"/>
      <c r="J18" s="32"/>
      <c r="K18" s="33"/>
      <c r="L18" s="7"/>
      <c r="M18" s="34" t="str">
        <f>IF(I18="FDWV","Correct","")</f>
        <v/>
      </c>
      <c r="N18" s="3"/>
      <c r="O18" s="4"/>
      <c r="P18" s="7"/>
      <c r="Q18" s="30" t="s">
        <v>43</v>
      </c>
      <c r="R18" s="3"/>
      <c r="S18" s="35"/>
      <c r="T18" s="31" t="s">
        <v>44</v>
      </c>
      <c r="U18" s="32"/>
      <c r="V18" s="33"/>
      <c r="W18" s="34" t="s">
        <v>41</v>
      </c>
      <c r="X18" s="3"/>
      <c r="Y18" s="4"/>
      <c r="Z18" s="31"/>
      <c r="AA18" s="32"/>
      <c r="AB18" s="33"/>
      <c r="AC18" s="7"/>
      <c r="AD18" s="34" t="str">
        <f>IF(Z18="FUEL","Correct","")</f>
        <v/>
      </c>
      <c r="AE18" s="4"/>
    </row>
    <row r="19" ht="21.75" customHeight="1">
      <c r="A19" s="1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21.75" customHeight="1">
      <c r="A20" s="1"/>
      <c r="B20" s="7" t="s">
        <v>45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30" t="s">
        <v>46</v>
      </c>
      <c r="R20" s="3"/>
      <c r="S20" s="4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21.75" customHeight="1">
      <c r="A21" s="1"/>
      <c r="B21" s="7" t="s">
        <v>41</v>
      </c>
      <c r="C21" s="31" t="s">
        <v>47</v>
      </c>
      <c r="D21" s="32"/>
      <c r="E21" s="33"/>
      <c r="F21" s="34" t="s">
        <v>43</v>
      </c>
      <c r="G21" s="3"/>
      <c r="H21" s="35"/>
      <c r="I21" s="31"/>
      <c r="J21" s="32"/>
      <c r="K21" s="33"/>
      <c r="L21" s="7"/>
      <c r="M21" s="34" t="str">
        <f>IF(I21="HYL","Correct","")</f>
        <v/>
      </c>
      <c r="N21" s="3"/>
      <c r="O21" s="4"/>
      <c r="P21" s="7"/>
      <c r="Q21" s="30" t="s">
        <v>43</v>
      </c>
      <c r="R21" s="3"/>
      <c r="S21" s="35"/>
      <c r="T21" s="31" t="s">
        <v>48</v>
      </c>
      <c r="U21" s="32"/>
      <c r="V21" s="33"/>
      <c r="W21" s="36" t="s">
        <v>41</v>
      </c>
      <c r="X21" s="3"/>
      <c r="Y21" s="4"/>
      <c r="Z21" s="31"/>
      <c r="AA21" s="32"/>
      <c r="AB21" s="33"/>
      <c r="AC21" s="7"/>
      <c r="AD21" s="34" t="str">
        <f>IF(Z21="IS","Correct","")</f>
        <v/>
      </c>
      <c r="AE21" s="4"/>
    </row>
    <row r="22" ht="21.75" customHeight="1">
      <c r="A22" s="1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21.75" customHeight="1">
      <c r="A23" s="1"/>
      <c r="B23" s="7" t="s">
        <v>49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30" t="s">
        <v>50</v>
      </c>
      <c r="R23" s="3"/>
      <c r="S23" s="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21.75" customHeight="1">
      <c r="A24" s="1"/>
      <c r="B24" s="7" t="s">
        <v>41</v>
      </c>
      <c r="C24" s="31" t="s">
        <v>51</v>
      </c>
      <c r="D24" s="32"/>
      <c r="E24" s="33"/>
      <c r="F24" s="34" t="s">
        <v>43</v>
      </c>
      <c r="G24" s="3"/>
      <c r="H24" s="35"/>
      <c r="I24" s="31"/>
      <c r="J24" s="32"/>
      <c r="K24" s="33"/>
      <c r="L24" s="7"/>
      <c r="M24" s="34" t="str">
        <f>IF(I24="PHGR","Correct","")</f>
        <v/>
      </c>
      <c r="N24" s="3"/>
      <c r="O24" s="4"/>
      <c r="P24" s="7"/>
      <c r="Q24" s="30" t="s">
        <v>43</v>
      </c>
      <c r="R24" s="3"/>
      <c r="S24" s="35"/>
      <c r="T24" s="31" t="s">
        <v>52</v>
      </c>
      <c r="U24" s="32"/>
      <c r="V24" s="33"/>
      <c r="W24" s="34" t="s">
        <v>41</v>
      </c>
      <c r="X24" s="3"/>
      <c r="Y24" s="4"/>
      <c r="Z24" s="31"/>
      <c r="AA24" s="32"/>
      <c r="AB24" s="33"/>
      <c r="AC24" s="7"/>
      <c r="AD24" s="34" t="str">
        <f>IF(Z24="READY","Correct","")</f>
        <v/>
      </c>
      <c r="AE24" s="4"/>
    </row>
    <row r="25" ht="21.75" customHeight="1">
      <c r="A25" s="1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21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21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21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21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21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21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21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21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21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21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21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21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21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21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21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21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21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21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21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21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21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21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21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21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2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21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21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21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21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21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21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21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21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21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21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21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21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21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21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21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21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21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21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21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21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21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21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21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21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21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21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21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21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21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21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21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21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21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21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21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21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21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21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21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21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21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21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21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21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21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21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21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21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21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21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21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21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21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21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21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21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21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21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21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21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21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21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21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21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21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21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21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21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21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21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21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21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21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21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21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21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21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21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21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21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21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21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21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21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21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21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21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21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21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21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21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21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21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21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21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21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21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21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21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21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21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21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21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21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21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21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21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21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21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21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21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21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21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21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21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21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21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21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21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21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21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21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21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21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21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21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21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21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21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21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21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21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21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21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21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21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21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21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21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21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21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21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21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21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21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21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21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21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21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21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21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21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21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21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21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21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21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21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21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21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21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21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21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21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21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21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21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21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21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21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21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21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21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21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21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21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21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21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21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21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21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21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21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21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21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21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21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21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21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21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21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21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21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21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21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21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21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21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21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21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21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21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21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21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21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21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21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21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21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21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21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21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21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21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21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21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21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21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21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21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21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21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21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21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21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21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21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21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21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21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21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21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21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21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21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21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21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21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21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21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21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21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21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21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21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21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21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21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21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21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21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21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21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21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21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21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21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21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21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21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21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21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21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21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21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21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21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21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21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21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21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21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21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21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21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21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21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21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21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21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21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21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21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21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21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21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21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21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21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21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21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21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21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21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21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21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21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21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21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21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21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21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21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21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21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21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21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21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21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21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21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21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21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21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21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21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21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21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21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21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21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21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21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21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21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21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21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21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21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21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21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21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21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21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21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21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21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21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21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21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21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21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21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21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21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21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21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21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21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21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21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21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21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21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21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21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21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21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21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21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21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21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21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21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21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21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21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21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21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21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21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21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21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21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21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21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21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21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21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21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21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21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21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21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21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21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21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21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21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21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21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21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21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21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21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21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21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21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21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21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21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21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21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21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21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21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21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21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21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21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21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21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21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21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21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21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21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21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21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21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21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21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21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21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21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21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21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21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21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21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21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21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21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21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21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21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21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21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21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21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21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21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21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21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21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21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21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21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21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21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21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21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21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21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21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21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21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21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21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21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21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21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21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21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21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21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21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21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21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21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21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21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21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21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21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21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21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21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21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21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21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21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21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21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21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21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21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21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21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21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21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21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21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21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21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21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21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21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21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21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21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21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21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21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21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21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21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21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21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21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21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21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21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21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21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21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21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21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21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21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21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21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21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21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21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21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21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21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21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21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21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21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21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21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21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21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21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21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21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21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21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21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21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21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21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21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21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21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21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21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21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21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21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21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21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21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21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21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21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21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21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21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21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21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21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21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21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21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21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21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21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21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21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21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21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21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21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21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21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21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21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21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21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21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21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21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21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21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21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21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21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21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21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21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21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21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21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21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21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21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21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21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21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21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21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21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21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21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21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21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21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21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21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21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21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21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21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21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21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21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21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21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21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21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21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21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21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21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21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21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21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21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21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21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21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21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21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21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21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21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21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21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21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21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21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21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21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21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21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21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21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21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21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21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21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21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21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21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21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21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21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21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21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21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21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21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21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21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21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21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21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21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21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21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21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21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21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21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21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21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21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21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21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21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21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21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21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21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21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21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21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21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21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21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21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21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21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21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21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21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21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21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21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21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21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21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21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21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21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21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21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21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21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21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21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21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21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21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21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21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21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21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21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21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21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21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21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21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21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21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21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21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21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21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21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21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21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21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21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21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21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21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21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21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21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21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21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21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21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21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21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21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21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21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21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21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21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21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21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21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21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21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21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21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21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21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21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21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21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21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21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21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21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21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21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21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21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21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21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21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21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21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21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21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21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21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21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21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21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21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21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21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21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21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21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21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21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21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21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21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21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21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21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21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21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21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21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21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21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21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21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21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21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21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21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21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21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21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21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21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21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21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21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21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21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21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21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21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21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21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21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21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21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21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21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21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21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21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21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21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21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21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21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21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21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21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21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21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21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21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21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21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21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21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21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21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21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21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21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21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21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21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21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21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21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21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21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21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21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21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21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21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21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21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21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21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21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21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21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21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21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21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21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21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21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21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21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21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21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21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21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21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21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21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21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21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21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21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21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21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21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21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21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21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21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21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21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21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21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21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21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21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21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21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21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21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21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21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21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21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21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21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21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21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21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21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21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21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21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21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21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21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21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21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21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21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21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21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21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21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21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21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21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21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21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21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21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31">
    <mergeCell ref="B2:AC2"/>
    <mergeCell ref="Q17:S17"/>
    <mergeCell ref="C18:E18"/>
    <mergeCell ref="F18:H18"/>
    <mergeCell ref="I18:K18"/>
    <mergeCell ref="M18:O18"/>
    <mergeCell ref="Q18:S18"/>
    <mergeCell ref="Z18:AB18"/>
    <mergeCell ref="T21:V21"/>
    <mergeCell ref="W21:Y21"/>
    <mergeCell ref="Z21:AB21"/>
    <mergeCell ref="AD21:AE21"/>
    <mergeCell ref="T18:V18"/>
    <mergeCell ref="W18:Y18"/>
    <mergeCell ref="AD18:AE18"/>
    <mergeCell ref="C21:E21"/>
    <mergeCell ref="F21:H21"/>
    <mergeCell ref="I21:K21"/>
    <mergeCell ref="M21:O21"/>
    <mergeCell ref="Q24:S24"/>
    <mergeCell ref="T24:V24"/>
    <mergeCell ref="W24:Y24"/>
    <mergeCell ref="Z24:AB24"/>
    <mergeCell ref="AD24:AE24"/>
    <mergeCell ref="Q20:S20"/>
    <mergeCell ref="Q21:S21"/>
    <mergeCell ref="Q23:S23"/>
    <mergeCell ref="C24:E24"/>
    <mergeCell ref="F24:H24"/>
    <mergeCell ref="I24:K24"/>
    <mergeCell ref="M24:O24"/>
  </mergeCells>
  <conditionalFormatting sqref="M18">
    <cfRule type="cellIs" dxfId="0" priority="1" operator="equal">
      <formula>"Correct"</formula>
    </cfRule>
  </conditionalFormatting>
  <conditionalFormatting sqref="AD18:AE18 AD21:AE21 AD24:AE24">
    <cfRule type="cellIs" dxfId="0" priority="2" operator="equal">
      <formula>"Correct"</formula>
    </cfRule>
  </conditionalFormatting>
  <conditionalFormatting sqref="M21">
    <cfRule type="cellIs" dxfId="0" priority="3" operator="equal">
      <formula>"Correct"</formula>
    </cfRule>
  </conditionalFormatting>
  <conditionalFormatting sqref="M24">
    <cfRule type="cellIs" dxfId="0" priority="4" operator="equal">
      <formula>"Correct"</formula>
    </cfRule>
  </conditionalFormatting>
  <dataValidations>
    <dataValidation type="list" allowBlank="1" showErrorMessage="1" sqref="C4">
      <formula1>"0,1,2,3,4,5,6,7,8,9,10,11,12,13,14,15,16,17,18,19,20,21,22,23,24,25"</formula1>
    </dataValidation>
  </dataValidations>
  <printOptions/>
  <pageMargins bottom="0.75" footer="0.0" header="0.0" left="0.7" right="0.7" top="0.75"/>
  <pageSetup paperSize="9" orientation="portrait"/>
  <drawing r:id="rId1"/>
</worksheet>
</file>