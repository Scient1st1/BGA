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5.4" sheetId="1" r:id="rId5"/>
  </sheets>
  <definedNames/>
  <calcPr/>
</workbook>
</file>

<file path=xl/sharedStrings.xml><?xml version="1.0" encoding="utf-8"?>
<sst xmlns="http://schemas.openxmlformats.org/spreadsheetml/2006/main" count="44" uniqueCount="33">
  <si>
    <t>Activity 5.4: The Caesar Cipher: automated encryption</t>
  </si>
  <si>
    <t>Key</t>
  </si>
  <si>
    <t>Plaintext</t>
  </si>
  <si>
    <t>Value</t>
  </si>
  <si>
    <t>Shifted value</t>
  </si>
  <si>
    <t>Adjusted value</t>
  </si>
  <si>
    <t>Ciphertext</t>
  </si>
  <si>
    <t>Create a spreadsheet that will allow you to encrypt messages using the Caesar Cipher.</t>
  </si>
  <si>
    <t>H</t>
  </si>
  <si>
    <t>Use the CODE function to convert the plaintext letter in cell B8 to its ASCII value in C8, for example: =CODE(B8).</t>
  </si>
  <si>
    <t>E</t>
  </si>
  <si>
    <t>Write a formula using an absolute cell reference in cell D8 to add the key to the ASCII value to get the shifted value.</t>
  </si>
  <si>
    <t>L</t>
  </si>
  <si>
    <t>Write an IF function in cell E8 so that 26 is subtracted from the shifted value if the shifted value is larger than 90.</t>
  </si>
  <si>
    <t>Use the CHAR function to convert the adjusted value to cipher text, for example: =CHAR(E8).</t>
  </si>
  <si>
    <t>O</t>
  </si>
  <si>
    <t>Use the fill handle to replicate the functions and formulae to complete the table.</t>
  </si>
  <si>
    <t>W</t>
  </si>
  <si>
    <t>Use the spreadsheet to encrypt the following messages.</t>
  </si>
  <si>
    <t>R</t>
  </si>
  <si>
    <t>Key: 3</t>
  </si>
  <si>
    <t>Plaintext:</t>
  </si>
  <si>
    <t>SPREADSHEETS</t>
  </si>
  <si>
    <t>Ciphertext:</t>
  </si>
  <si>
    <t>D</t>
  </si>
  <si>
    <t>Key: 7</t>
  </si>
  <si>
    <t>CAN BE</t>
  </si>
  <si>
    <t>Key: 13</t>
  </si>
  <si>
    <t>HELPFUL</t>
  </si>
  <si>
    <t>Key: 17</t>
  </si>
  <si>
    <t>ONCE</t>
  </si>
  <si>
    <t>Key: 22</t>
  </si>
  <si>
    <t>PROGRAMMED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</si>
</sst>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C55A1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E2EFD9"/>
        <bgColor rgb="FFE2EFD9"/>
      </patternFill>
    </fill>
  </fills>
  <borders count="2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7" fillId="4" fontId="5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vertical="center"/>
    </xf>
    <xf borderId="9" fillId="5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left"/>
    </xf>
    <xf borderId="10" fillId="4" fontId="4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vertical="center"/>
    </xf>
    <xf borderId="0" fillId="0" fontId="6" numFmtId="0" xfId="0" applyFont="1"/>
    <xf borderId="13" fillId="2" fontId="4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2" fillId="2" fontId="4" numFmtId="0" xfId="0" applyAlignment="1" applyBorder="1" applyFill="1" applyFont="1">
      <alignment horizontal="center" vertical="center"/>
    </xf>
    <xf borderId="16" fillId="0" fontId="3" numFmtId="0" xfId="0" applyBorder="1" applyFont="1"/>
    <xf borderId="1" fillId="2" fontId="1" numFmtId="0" xfId="0" applyAlignment="1" applyBorder="1" applyFill="1" applyFont="1">
      <alignment horizontal="left" vertical="center"/>
    </xf>
    <xf borderId="17" fillId="4" fontId="4" numFmtId="0" xfId="0" applyAlignment="1" applyBorder="1" applyFill="1" applyFont="1">
      <alignment horizontal="center" vertical="center"/>
    </xf>
    <xf borderId="18" fillId="2" fontId="4" numFmtId="0" xfId="0" applyAlignment="1" applyBorder="1" applyFill="1" applyFont="1">
      <alignment horizontal="center" vertical="center"/>
    </xf>
    <xf borderId="19" fillId="5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6" width="14.57"/>
    <col customWidth="1" min="7" max="7" width="14.0"/>
    <col customWidth="1" min="8" max="29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4.25" customHeight="1">
      <c r="A4" s="5"/>
      <c r="B4" s="6" t="s">
        <v>1</v>
      </c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ht="14.25" customHeight="1">
      <c r="A5" s="5"/>
      <c r="B5" s="5"/>
      <c r="C5" s="5"/>
      <c r="D5" s="5"/>
      <c r="E5" s="5"/>
      <c r="F5" s="5"/>
      <c r="G5" s="5"/>
      <c r="H5" s="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4.25" customHeight="1">
      <c r="A6" s="5"/>
      <c r="B6" s="5"/>
      <c r="C6" s="5"/>
      <c r="D6" s="5"/>
      <c r="E6" s="5"/>
      <c r="F6" s="5"/>
      <c r="G6" s="5"/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ht="25.5" customHeight="1">
      <c r="A7" s="5"/>
      <c r="B7" s="9" t="s">
        <v>2</v>
      </c>
      <c r="C7" s="10" t="s">
        <v>3</v>
      </c>
      <c r="D7" s="10" t="s">
        <v>4</v>
      </c>
      <c r="E7" s="10" t="s">
        <v>5</v>
      </c>
      <c r="F7" s="11" t="s">
        <v>6</v>
      </c>
      <c r="G7" s="5"/>
      <c r="H7" s="12" t="s">
        <v>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ht="25.5" customHeight="1">
      <c r="A8" s="5"/>
      <c r="B8" s="13" t="s">
        <v>8</v>
      </c>
      <c r="C8" s="14"/>
      <c r="D8" s="14"/>
      <c r="E8" s="14"/>
      <c r="F8" s="15"/>
      <c r="G8" s="5"/>
      <c r="H8" s="12" t="s">
        <v>9</v>
      </c>
      <c r="I8" s="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ht="25.5" customHeight="1">
      <c r="A9" s="5"/>
      <c r="B9" s="13" t="s">
        <v>10</v>
      </c>
      <c r="C9" s="14"/>
      <c r="D9" s="14"/>
      <c r="E9" s="14"/>
      <c r="F9" s="15"/>
      <c r="G9" s="5"/>
      <c r="H9" s="12" t="s">
        <v>11</v>
      </c>
      <c r="I9" s="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ht="25.5" customHeight="1">
      <c r="A10" s="5"/>
      <c r="B10" s="13" t="s">
        <v>12</v>
      </c>
      <c r="C10" s="14"/>
      <c r="D10" s="14"/>
      <c r="E10" s="14"/>
      <c r="F10" s="15"/>
      <c r="G10" s="5"/>
      <c r="H10" s="12" t="s">
        <v>13</v>
      </c>
      <c r="I10" s="8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ht="25.5" customHeight="1">
      <c r="A11" s="5"/>
      <c r="B11" s="13" t="s">
        <v>12</v>
      </c>
      <c r="C11" s="14"/>
      <c r="D11" s="14"/>
      <c r="E11" s="14"/>
      <c r="F11" s="15"/>
      <c r="G11" s="5"/>
      <c r="H11" s="12" t="s">
        <v>14</v>
      </c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25.5" customHeight="1">
      <c r="A12" s="5"/>
      <c r="B12" s="13" t="s">
        <v>15</v>
      </c>
      <c r="C12" s="14"/>
      <c r="D12" s="14"/>
      <c r="E12" s="14"/>
      <c r="F12" s="15"/>
      <c r="G12" s="5"/>
      <c r="H12" s="12" t="s">
        <v>16</v>
      </c>
      <c r="I12" s="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24.0" customHeight="1">
      <c r="A13" s="5"/>
      <c r="B13" s="13" t="s">
        <v>17</v>
      </c>
      <c r="C13" s="14"/>
      <c r="D13" s="14"/>
      <c r="E13" s="14"/>
      <c r="F13" s="15"/>
      <c r="G13" s="5"/>
      <c r="H13" s="5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25.5" customHeight="1">
      <c r="A14" s="5"/>
      <c r="B14" s="13" t="s">
        <v>15</v>
      </c>
      <c r="C14" s="14"/>
      <c r="D14" s="14"/>
      <c r="E14" s="14"/>
      <c r="F14" s="15"/>
      <c r="G14" s="5"/>
      <c r="H14" s="16" t="s">
        <v>18</v>
      </c>
      <c r="I14" s="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ht="25.5" customHeight="1">
      <c r="A15" s="5"/>
      <c r="B15" s="13" t="s">
        <v>19</v>
      </c>
      <c r="C15" s="14"/>
      <c r="D15" s="14"/>
      <c r="E15" s="14"/>
      <c r="F15" s="15"/>
      <c r="G15" s="5"/>
      <c r="H15" s="8" t="s">
        <v>20</v>
      </c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ht="25.5" customHeight="1">
      <c r="A16" s="5"/>
      <c r="B16" s="13" t="s">
        <v>12</v>
      </c>
      <c r="C16" s="14"/>
      <c r="D16" s="14"/>
      <c r="E16" s="14"/>
      <c r="F16" s="15"/>
      <c r="G16" s="5"/>
      <c r="H16" s="8" t="s">
        <v>21</v>
      </c>
      <c r="I16" s="8"/>
      <c r="J16" s="17" t="s">
        <v>22</v>
      </c>
      <c r="K16" s="18"/>
      <c r="L16" s="19"/>
      <c r="M16" s="20" t="s">
        <v>23</v>
      </c>
      <c r="N16" s="3"/>
      <c r="O16" s="21"/>
      <c r="P16" s="17"/>
      <c r="Q16" s="18"/>
      <c r="R16" s="19"/>
      <c r="S16" s="5"/>
      <c r="T16" s="20" t="str">
        <f>IF(P16="VSUHDGVKHHWV","Correct","")</f>
        <v/>
      </c>
      <c r="U16" s="3"/>
      <c r="V16" s="4"/>
      <c r="W16" s="5"/>
      <c r="X16" s="5"/>
      <c r="Y16" s="5"/>
      <c r="Z16" s="5"/>
      <c r="AA16" s="5"/>
      <c r="AB16" s="5"/>
      <c r="AC16" s="5"/>
    </row>
    <row r="17" ht="25.5" customHeight="1">
      <c r="A17" s="5"/>
      <c r="B17" s="13" t="s">
        <v>24</v>
      </c>
      <c r="C17" s="14"/>
      <c r="D17" s="14"/>
      <c r="E17" s="14"/>
      <c r="F17" s="15"/>
      <c r="G17" s="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5"/>
      <c r="T17" s="8"/>
      <c r="U17" s="22"/>
      <c r="V17" s="22"/>
      <c r="W17" s="5"/>
      <c r="X17" s="5"/>
      <c r="Y17" s="5"/>
      <c r="Z17" s="5"/>
      <c r="AA17" s="5"/>
      <c r="AB17" s="5"/>
      <c r="AC17" s="5"/>
    </row>
    <row r="18" ht="25.5" customHeight="1">
      <c r="A18" s="5"/>
      <c r="B18" s="13"/>
      <c r="C18" s="14"/>
      <c r="D18" s="14"/>
      <c r="E18" s="14"/>
      <c r="F18" s="15"/>
      <c r="G18" s="5"/>
      <c r="H18" s="8" t="s">
        <v>25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5"/>
      <c r="T18" s="8"/>
      <c r="U18" s="22"/>
      <c r="V18" s="22"/>
      <c r="W18" s="5"/>
      <c r="X18" s="5"/>
      <c r="Y18" s="5"/>
      <c r="Z18" s="5"/>
      <c r="AA18" s="5"/>
      <c r="AB18" s="5"/>
      <c r="AC18" s="5"/>
    </row>
    <row r="19" ht="25.5" customHeight="1">
      <c r="A19" s="5"/>
      <c r="B19" s="13"/>
      <c r="C19" s="14"/>
      <c r="D19" s="14"/>
      <c r="E19" s="14"/>
      <c r="F19" s="15"/>
      <c r="G19" s="5"/>
      <c r="H19" s="8" t="s">
        <v>21</v>
      </c>
      <c r="I19" s="8"/>
      <c r="J19" s="17" t="s">
        <v>26</v>
      </c>
      <c r="K19" s="18"/>
      <c r="L19" s="19"/>
      <c r="M19" s="20" t="s">
        <v>23</v>
      </c>
      <c r="N19" s="3"/>
      <c r="O19" s="21"/>
      <c r="P19" s="17"/>
      <c r="Q19" s="18"/>
      <c r="R19" s="19"/>
      <c r="S19" s="5"/>
      <c r="T19" s="20" t="str">
        <f>IF(P19="JHU IL","Correct","")</f>
        <v/>
      </c>
      <c r="U19" s="3"/>
      <c r="V19" s="4"/>
      <c r="W19" s="5"/>
      <c r="X19" s="5"/>
      <c r="Y19" s="5"/>
      <c r="Z19" s="5"/>
      <c r="AA19" s="5"/>
      <c r="AB19" s="5"/>
      <c r="AC19" s="5"/>
    </row>
    <row r="20" ht="25.5" customHeight="1">
      <c r="A20" s="5"/>
      <c r="B20" s="13"/>
      <c r="C20" s="14"/>
      <c r="D20" s="14"/>
      <c r="E20" s="14"/>
      <c r="F20" s="15"/>
      <c r="G20" s="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5"/>
      <c r="T20" s="8"/>
      <c r="U20" s="22"/>
      <c r="V20" s="22"/>
      <c r="W20" s="5"/>
      <c r="X20" s="5"/>
      <c r="Y20" s="5"/>
      <c r="Z20" s="5"/>
      <c r="AA20" s="5"/>
      <c r="AB20" s="5"/>
      <c r="AC20" s="5"/>
    </row>
    <row r="21" ht="25.5" customHeight="1">
      <c r="A21" s="5"/>
      <c r="B21" s="13"/>
      <c r="C21" s="14"/>
      <c r="D21" s="14"/>
      <c r="E21" s="14"/>
      <c r="F21" s="15"/>
      <c r="G21" s="5"/>
      <c r="H21" s="8" t="s">
        <v>27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5"/>
      <c r="T21" s="8"/>
      <c r="U21" s="22"/>
      <c r="V21" s="22"/>
      <c r="W21" s="5"/>
      <c r="X21" s="5"/>
      <c r="Y21" s="5"/>
      <c r="Z21" s="5"/>
      <c r="AA21" s="5"/>
      <c r="AB21" s="5"/>
      <c r="AC21" s="5"/>
    </row>
    <row r="22" ht="25.5" customHeight="1">
      <c r="A22" s="5"/>
      <c r="B22" s="13"/>
      <c r="C22" s="14"/>
      <c r="D22" s="14"/>
      <c r="E22" s="14"/>
      <c r="F22" s="15"/>
      <c r="G22" s="5"/>
      <c r="H22" s="8" t="s">
        <v>21</v>
      </c>
      <c r="I22" s="8"/>
      <c r="J22" s="17" t="s">
        <v>28</v>
      </c>
      <c r="K22" s="18"/>
      <c r="L22" s="19"/>
      <c r="M22" s="20" t="s">
        <v>23</v>
      </c>
      <c r="N22" s="3"/>
      <c r="O22" s="21"/>
      <c r="P22" s="17"/>
      <c r="Q22" s="18"/>
      <c r="R22" s="19"/>
      <c r="S22" s="5"/>
      <c r="T22" s="20" t="str">
        <f>IF(P22="URYCSHY","Correct","")</f>
        <v/>
      </c>
      <c r="U22" s="3"/>
      <c r="V22" s="4"/>
      <c r="W22" s="5"/>
      <c r="X22" s="5"/>
      <c r="Y22" s="5"/>
      <c r="Z22" s="5"/>
      <c r="AA22" s="5"/>
      <c r="AB22" s="5"/>
      <c r="AC22" s="5"/>
    </row>
    <row r="23" ht="25.5" customHeight="1">
      <c r="A23" s="5"/>
      <c r="B23" s="13"/>
      <c r="C23" s="14"/>
      <c r="D23" s="14"/>
      <c r="E23" s="14"/>
      <c r="F23" s="1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5"/>
      <c r="T23" s="1"/>
      <c r="U23" s="1"/>
      <c r="V23" s="1"/>
      <c r="W23" s="5"/>
      <c r="X23" s="5"/>
      <c r="Y23" s="5"/>
      <c r="Z23" s="5"/>
      <c r="AA23" s="5"/>
      <c r="AB23" s="5"/>
      <c r="AC23" s="5"/>
    </row>
    <row r="24" ht="25.5" customHeight="1">
      <c r="A24" s="5"/>
      <c r="B24" s="13"/>
      <c r="C24" s="14"/>
      <c r="D24" s="14"/>
      <c r="E24" s="14"/>
      <c r="F24" s="15"/>
      <c r="G24" s="5"/>
      <c r="H24" s="8" t="s">
        <v>29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5"/>
      <c r="T24" s="8"/>
      <c r="U24" s="22"/>
      <c r="V24" s="22"/>
      <c r="W24" s="5"/>
      <c r="X24" s="5"/>
      <c r="Y24" s="5"/>
      <c r="Z24" s="5"/>
      <c r="AA24" s="5"/>
      <c r="AB24" s="5"/>
      <c r="AC24" s="5"/>
    </row>
    <row r="25" ht="25.5" customHeight="1">
      <c r="A25" s="5"/>
      <c r="B25" s="13"/>
      <c r="C25" s="14"/>
      <c r="D25" s="14"/>
      <c r="E25" s="14"/>
      <c r="F25" s="15"/>
      <c r="G25" s="5"/>
      <c r="H25" s="8" t="s">
        <v>21</v>
      </c>
      <c r="I25" s="8"/>
      <c r="J25" s="17" t="s">
        <v>30</v>
      </c>
      <c r="K25" s="18"/>
      <c r="L25" s="19"/>
      <c r="M25" s="20" t="s">
        <v>23</v>
      </c>
      <c r="N25" s="3"/>
      <c r="O25" s="21"/>
      <c r="P25" s="17"/>
      <c r="Q25" s="18"/>
      <c r="R25" s="19"/>
      <c r="S25" s="5"/>
      <c r="T25" s="20" t="str">
        <f>IF(P25="FETV","Correct","")</f>
        <v/>
      </c>
      <c r="U25" s="3"/>
      <c r="V25" s="4"/>
      <c r="W25" s="5"/>
      <c r="X25" s="5"/>
      <c r="Y25" s="5"/>
      <c r="Z25" s="5"/>
      <c r="AA25" s="5"/>
      <c r="AB25" s="5"/>
      <c r="AC25" s="5"/>
    </row>
    <row r="26" ht="25.5" customHeight="1">
      <c r="A26" s="5"/>
      <c r="B26" s="13"/>
      <c r="C26" s="14"/>
      <c r="D26" s="14"/>
      <c r="E26" s="14"/>
      <c r="F26" s="15"/>
      <c r="G26" s="5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5"/>
      <c r="T26" s="8"/>
      <c r="U26" s="22"/>
      <c r="V26" s="22"/>
      <c r="W26" s="5"/>
      <c r="X26" s="5"/>
      <c r="Y26" s="5"/>
      <c r="Z26" s="5"/>
      <c r="AA26" s="5"/>
      <c r="AB26" s="5"/>
      <c r="AC26" s="5"/>
    </row>
    <row r="27" ht="25.5" customHeight="1">
      <c r="A27" s="5"/>
      <c r="B27" s="23"/>
      <c r="C27" s="24"/>
      <c r="D27" s="24"/>
      <c r="E27" s="24"/>
      <c r="F27" s="25"/>
      <c r="G27" s="5"/>
      <c r="H27" s="8" t="s">
        <v>31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5"/>
      <c r="T27" s="8"/>
      <c r="U27" s="22"/>
      <c r="V27" s="22"/>
      <c r="W27" s="5"/>
      <c r="X27" s="5"/>
      <c r="Y27" s="5"/>
      <c r="Z27" s="5"/>
      <c r="AA27" s="5"/>
      <c r="AB27" s="5"/>
      <c r="AC27" s="5"/>
    </row>
    <row r="28" ht="25.5" customHeight="1">
      <c r="A28" s="5"/>
      <c r="B28" s="5"/>
      <c r="C28" s="5"/>
      <c r="D28" s="5"/>
      <c r="E28" s="5"/>
      <c r="F28" s="5"/>
      <c r="G28" s="5"/>
      <c r="H28" s="8" t="s">
        <v>21</v>
      </c>
      <c r="I28" s="8"/>
      <c r="J28" s="17" t="s">
        <v>32</v>
      </c>
      <c r="K28" s="18"/>
      <c r="L28" s="19"/>
      <c r="M28" s="20" t="s">
        <v>23</v>
      </c>
      <c r="N28" s="3"/>
      <c r="O28" s="21"/>
      <c r="P28" s="17"/>
      <c r="Q28" s="18"/>
      <c r="R28" s="19"/>
      <c r="S28" s="5"/>
      <c r="T28" s="20" t="str">
        <f>IF(P28="LNKCNWIIAZ","Correct","")</f>
        <v/>
      </c>
      <c r="U28" s="3"/>
      <c r="V28" s="4"/>
      <c r="W28" s="5"/>
      <c r="X28" s="5"/>
      <c r="Y28" s="5"/>
      <c r="Z28" s="5"/>
      <c r="AA28" s="5"/>
      <c r="AB28" s="5"/>
      <c r="AC28" s="5"/>
    </row>
    <row r="29" ht="25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25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25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25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25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25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25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25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25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25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ht="25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25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25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ht="25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25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ht="25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ht="25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ht="25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ht="25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ht="25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ht="25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ht="25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ht="25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ht="25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ht="25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ht="25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ht="25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ht="25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ht="25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ht="25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ht="25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ht="25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ht="25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ht="25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ht="25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ht="25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ht="25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ht="25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ht="25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ht="25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ht="25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ht="25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ht="25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ht="25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ht="25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ht="25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25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25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25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25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25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25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25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25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25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25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25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25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25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25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25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25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1">
    <mergeCell ref="B2:AC2"/>
    <mergeCell ref="J16:L16"/>
    <mergeCell ref="M16:O16"/>
    <mergeCell ref="P16:R16"/>
    <mergeCell ref="T16:V16"/>
    <mergeCell ref="J19:L19"/>
    <mergeCell ref="M19:O19"/>
    <mergeCell ref="M25:O25"/>
    <mergeCell ref="P25:R25"/>
    <mergeCell ref="J28:L28"/>
    <mergeCell ref="M28:O28"/>
    <mergeCell ref="P28:R28"/>
    <mergeCell ref="T28:V28"/>
    <mergeCell ref="P19:R19"/>
    <mergeCell ref="T19:V19"/>
    <mergeCell ref="J22:L22"/>
    <mergeCell ref="M22:O22"/>
    <mergeCell ref="P22:R22"/>
    <mergeCell ref="T22:V22"/>
    <mergeCell ref="J25:L25"/>
    <mergeCell ref="T25:V25"/>
  </mergeCells>
  <conditionalFormatting sqref="T16">
    <cfRule type="cellIs" dxfId="0" priority="1" operator="equal">
      <formula>"Correct"</formula>
    </cfRule>
  </conditionalFormatting>
  <conditionalFormatting sqref="T19">
    <cfRule type="cellIs" dxfId="0" priority="2" operator="equal">
      <formula>"Correct"</formula>
    </cfRule>
  </conditionalFormatting>
  <conditionalFormatting sqref="T22">
    <cfRule type="cellIs" dxfId="0" priority="3" operator="equal">
      <formula>"Correct"</formula>
    </cfRule>
  </conditionalFormatting>
  <conditionalFormatting sqref="T25">
    <cfRule type="cellIs" dxfId="0" priority="4" operator="equal">
      <formula>"Correct"</formula>
    </cfRule>
  </conditionalFormatting>
  <conditionalFormatting sqref="T28">
    <cfRule type="cellIs" dxfId="0" priority="5" operator="equal">
      <formula>"Correct"</formula>
    </cfRule>
  </conditionalFormatting>
  <printOptions/>
  <pageMargins bottom="0.75" footer="0.0" header="0.0" left="0.7" right="0.7" top="0.75"/>
  <pageSetup orientation="landscape"/>
  <drawing r:id="rId1"/>
</worksheet>
</file>