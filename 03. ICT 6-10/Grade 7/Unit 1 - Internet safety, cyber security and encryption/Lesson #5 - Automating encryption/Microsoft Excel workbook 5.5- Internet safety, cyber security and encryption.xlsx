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5" sheetId="1" r:id="rId5"/>
  </sheets>
  <definedNames/>
  <calcPr/>
</workbook>
</file>

<file path=xl/sharedStrings.xml><?xml version="1.0" encoding="utf-8"?>
<sst xmlns="http://schemas.openxmlformats.org/spreadsheetml/2006/main" count="48" uniqueCount="28">
  <si>
    <t>Activity 5.5: The Caesar Cipher: automated encryption</t>
  </si>
  <si>
    <t>Key</t>
  </si>
  <si>
    <t>Plaintext</t>
  </si>
  <si>
    <t>Value</t>
  </si>
  <si>
    <t>Shifted value</t>
  </si>
  <si>
    <t>Adjusted value</t>
  </si>
  <si>
    <t>Ciphertext</t>
  </si>
  <si>
    <t>Use the spreadsheet to encrypt the following messages.</t>
  </si>
  <si>
    <t>H</t>
  </si>
  <si>
    <t>Key: 3</t>
  </si>
  <si>
    <t>E</t>
  </si>
  <si>
    <t>Plaintext:</t>
  </si>
  <si>
    <t>SPREADSHEETS</t>
  </si>
  <si>
    <t>Ciphertext:</t>
  </si>
  <si>
    <t>L</t>
  </si>
  <si>
    <t>Key: 7</t>
  </si>
  <si>
    <t>O</t>
  </si>
  <si>
    <t>CAN BE</t>
  </si>
  <si>
    <t xml:space="preserve"> </t>
  </si>
  <si>
    <t>W</t>
  </si>
  <si>
    <t>Key: 13</t>
  </si>
  <si>
    <t>HELPFUL</t>
  </si>
  <si>
    <t>R</t>
  </si>
  <si>
    <t>Key: 17</t>
  </si>
  <si>
    <t>D</t>
  </si>
  <si>
    <t>ONCE</t>
  </si>
  <si>
    <t>Key: 22</t>
  </si>
  <si>
    <t>PROGRAMMED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</si>
</sst>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2.0"/>
      <color rgb="FFC55A1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7" fillId="4" fontId="5" numFmtId="0" xfId="0" applyAlignment="1" applyBorder="1" applyFill="1" applyFont="1">
      <alignment horizontal="center" vertical="center"/>
    </xf>
    <xf borderId="8" fillId="2" fontId="5" numFmtId="0" xfId="0" applyAlignment="1" applyBorder="1" applyFill="1" applyFont="1">
      <alignment horizontal="center" vertical="center"/>
    </xf>
    <xf borderId="9" fillId="5" fontId="5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left" vertical="center"/>
    </xf>
    <xf borderId="10" fillId="4" fontId="4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12" fillId="5" fontId="4" numFmtId="0" xfId="0" applyAlignment="1" applyBorder="1" applyFill="1" applyFont="1">
      <alignment horizontal="center" vertical="center"/>
    </xf>
    <xf borderId="13" fillId="2" fontId="4" numFmtId="0" xfId="0" applyAlignment="1" applyBorder="1" applyFill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2" fillId="2" fontId="4" numFmtId="0" xfId="0" applyAlignment="1" applyBorder="1" applyFill="1" applyFont="1">
      <alignment horizontal="center" vertical="center"/>
    </xf>
    <xf borderId="16" fillId="0" fontId="3" numFmtId="0" xfId="0" applyBorder="1" applyFont="1"/>
    <xf borderId="17" fillId="4" fontId="4" numFmtId="0" xfId="0" applyAlignment="1" applyBorder="1" applyFill="1" applyFont="1">
      <alignment horizontal="center" vertical="center"/>
    </xf>
    <xf borderId="18" fillId="2" fontId="4" numFmtId="0" xfId="0" applyAlignment="1" applyBorder="1" applyFill="1" applyFont="1">
      <alignment horizontal="center" vertical="center"/>
    </xf>
    <xf borderId="19" fillId="5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6" width="14.57"/>
    <col customWidth="1" min="7" max="7" width="14.0"/>
    <col customWidth="1" min="8" max="8" width="12.86"/>
    <col customWidth="1" min="9" max="21" width="6.14"/>
    <col customWidth="1" min="22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"/>
      <c r="W3" s="1"/>
      <c r="X3" s="1"/>
      <c r="Y3" s="1"/>
      <c r="Z3" s="1"/>
    </row>
    <row r="4" ht="14.25" customHeight="1">
      <c r="A4" s="1"/>
      <c r="B4" s="6" t="s">
        <v>1</v>
      </c>
      <c r="C4" s="7">
        <v>0.0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"/>
      <c r="W4" s="1"/>
      <c r="X4" s="1"/>
      <c r="Y4" s="1"/>
      <c r="Z4" s="1"/>
    </row>
    <row r="5" ht="14.25" customHeight="1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"/>
      <c r="W5" s="1"/>
      <c r="X5" s="1"/>
      <c r="Y5" s="1"/>
      <c r="Z5" s="1"/>
    </row>
    <row r="6" ht="14.25" customHeight="1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  <c r="W6" s="1"/>
      <c r="X6" s="1"/>
      <c r="Y6" s="1"/>
      <c r="Z6" s="1"/>
    </row>
    <row r="7" ht="25.5" customHeight="1">
      <c r="A7" s="1"/>
      <c r="B7" s="8" t="s">
        <v>2</v>
      </c>
      <c r="C7" s="9" t="s">
        <v>3</v>
      </c>
      <c r="D7" s="9" t="s">
        <v>4</v>
      </c>
      <c r="E7" s="9" t="s">
        <v>5</v>
      </c>
      <c r="F7" s="10" t="s">
        <v>6</v>
      </c>
      <c r="G7" s="5"/>
      <c r="H7" s="11" t="s">
        <v>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"/>
      <c r="W7" s="1"/>
      <c r="X7" s="1"/>
      <c r="Y7" s="1"/>
      <c r="Z7" s="1"/>
    </row>
    <row r="8" ht="25.5" customHeight="1">
      <c r="A8" s="1"/>
      <c r="B8" s="13" t="s">
        <v>8</v>
      </c>
      <c r="C8" s="14">
        <f t="shared" ref="C8:C27" si="1">IF(CODE(B8)&lt;65,32,CODE(B8))</f>
        <v>72</v>
      </c>
      <c r="D8" s="14">
        <f t="shared" ref="D8:D12" si="2">IF(C8=32,32,C8+C$4)</f>
        <v>72</v>
      </c>
      <c r="E8" s="14">
        <f t="shared" ref="E8:E12" si="3">IF(D8&gt;90,D8-26,D8)</f>
        <v>72</v>
      </c>
      <c r="F8" s="15" t="str">
        <f t="shared" ref="F8:F18" si="4">CHAR(E8)</f>
        <v>H</v>
      </c>
      <c r="G8" s="5"/>
      <c r="H8" s="12" t="s">
        <v>9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"/>
      <c r="W8" s="1"/>
      <c r="X8" s="1"/>
      <c r="Y8" s="1"/>
      <c r="Z8" s="1"/>
    </row>
    <row r="9" ht="25.5" customHeight="1">
      <c r="A9" s="1"/>
      <c r="B9" s="13" t="s">
        <v>10</v>
      </c>
      <c r="C9" s="14">
        <f t="shared" si="1"/>
        <v>69</v>
      </c>
      <c r="D9" s="14">
        <f t="shared" si="2"/>
        <v>69</v>
      </c>
      <c r="E9" s="14">
        <f t="shared" si="3"/>
        <v>69</v>
      </c>
      <c r="F9" s="15" t="str">
        <f t="shared" si="4"/>
        <v>E</v>
      </c>
      <c r="G9" s="5"/>
      <c r="H9" s="12" t="s">
        <v>11</v>
      </c>
      <c r="I9" s="16" t="s">
        <v>12</v>
      </c>
      <c r="J9" s="17"/>
      <c r="K9" s="18"/>
      <c r="L9" s="19" t="s">
        <v>13</v>
      </c>
      <c r="M9" s="3"/>
      <c r="N9" s="20"/>
      <c r="O9" s="16"/>
      <c r="P9" s="17"/>
      <c r="Q9" s="18"/>
      <c r="R9" s="12"/>
      <c r="S9" s="19" t="str">
        <f>IF(O9="VSUHDGVKHHWV","Correct","")</f>
        <v/>
      </c>
      <c r="T9" s="3"/>
      <c r="U9" s="4"/>
      <c r="V9" s="1"/>
      <c r="W9" s="1"/>
      <c r="X9" s="1"/>
      <c r="Y9" s="1"/>
      <c r="Z9" s="1"/>
    </row>
    <row r="10" ht="25.5" customHeight="1">
      <c r="A10" s="1"/>
      <c r="B10" s="13" t="s">
        <v>14</v>
      </c>
      <c r="C10" s="14">
        <f t="shared" si="1"/>
        <v>76</v>
      </c>
      <c r="D10" s="14">
        <f t="shared" si="2"/>
        <v>76</v>
      </c>
      <c r="E10" s="14">
        <f t="shared" si="3"/>
        <v>76</v>
      </c>
      <c r="F10" s="15" t="str">
        <f t="shared" si="4"/>
        <v>L</v>
      </c>
      <c r="G10" s="5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"/>
      <c r="W10" s="1"/>
      <c r="X10" s="1"/>
      <c r="Y10" s="1"/>
      <c r="Z10" s="1"/>
    </row>
    <row r="11" ht="25.5" customHeight="1">
      <c r="A11" s="1"/>
      <c r="B11" s="13" t="s">
        <v>14</v>
      </c>
      <c r="C11" s="14">
        <f t="shared" si="1"/>
        <v>76</v>
      </c>
      <c r="D11" s="14">
        <f t="shared" si="2"/>
        <v>76</v>
      </c>
      <c r="E11" s="14">
        <f t="shared" si="3"/>
        <v>76</v>
      </c>
      <c r="F11" s="15" t="str">
        <f t="shared" si="4"/>
        <v>L</v>
      </c>
      <c r="G11" s="5"/>
      <c r="H11" s="12" t="s">
        <v>15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"/>
      <c r="W11" s="1"/>
      <c r="X11" s="1"/>
      <c r="Y11" s="1"/>
      <c r="Z11" s="1"/>
    </row>
    <row r="12" ht="25.5" customHeight="1">
      <c r="A12" s="1"/>
      <c r="B12" s="13" t="s">
        <v>16</v>
      </c>
      <c r="C12" s="14">
        <f t="shared" si="1"/>
        <v>79</v>
      </c>
      <c r="D12" s="14">
        <f t="shared" si="2"/>
        <v>79</v>
      </c>
      <c r="E12" s="14">
        <f t="shared" si="3"/>
        <v>79</v>
      </c>
      <c r="F12" s="15" t="str">
        <f t="shared" si="4"/>
        <v>O</v>
      </c>
      <c r="G12" s="5"/>
      <c r="H12" s="12" t="s">
        <v>11</v>
      </c>
      <c r="I12" s="16" t="s">
        <v>17</v>
      </c>
      <c r="J12" s="17"/>
      <c r="K12" s="18"/>
      <c r="L12" s="19" t="s">
        <v>13</v>
      </c>
      <c r="M12" s="3"/>
      <c r="N12" s="20"/>
      <c r="O12" s="16"/>
      <c r="P12" s="17"/>
      <c r="Q12" s="18"/>
      <c r="R12" s="12"/>
      <c r="S12" s="19" t="str">
        <f>IF(O12="JHU IL","Correct","")</f>
        <v/>
      </c>
      <c r="T12" s="3"/>
      <c r="U12" s="4"/>
      <c r="V12" s="1"/>
      <c r="W12" s="1"/>
      <c r="X12" s="1"/>
      <c r="Y12" s="1"/>
      <c r="Z12" s="1"/>
    </row>
    <row r="13" ht="25.5" customHeight="1">
      <c r="A13" s="1"/>
      <c r="B13" s="13" t="s">
        <v>18</v>
      </c>
      <c r="C13" s="14">
        <f t="shared" si="1"/>
        <v>32</v>
      </c>
      <c r="D13" s="14">
        <f t="shared" ref="D13:E13" si="5">IF(CODE(C13)&lt;65,32,CODE(C13))</f>
        <v>32</v>
      </c>
      <c r="E13" s="14">
        <f t="shared" si="5"/>
        <v>32</v>
      </c>
      <c r="F13" s="15" t="str">
        <f t="shared" si="4"/>
        <v> </v>
      </c>
      <c r="G13" s="5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"/>
      <c r="W13" s="1"/>
      <c r="X13" s="1"/>
      <c r="Y13" s="1"/>
      <c r="Z13" s="1"/>
    </row>
    <row r="14" ht="25.5" customHeight="1">
      <c r="A14" s="1"/>
      <c r="B14" s="13" t="s">
        <v>19</v>
      </c>
      <c r="C14" s="14">
        <f t="shared" si="1"/>
        <v>87</v>
      </c>
      <c r="D14" s="14">
        <f t="shared" ref="D14:D27" si="6">IF(C14=32,32,C14+C$4)</f>
        <v>87</v>
      </c>
      <c r="E14" s="14">
        <f t="shared" ref="E14:E27" si="7">IF(D14&gt;90,D14-26,D14)</f>
        <v>87</v>
      </c>
      <c r="F14" s="15" t="str">
        <f t="shared" si="4"/>
        <v>W</v>
      </c>
      <c r="G14" s="5"/>
      <c r="H14" s="12" t="s">
        <v>20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"/>
      <c r="W14" s="1"/>
      <c r="X14" s="1"/>
      <c r="Y14" s="1"/>
      <c r="Z14" s="1"/>
    </row>
    <row r="15" ht="25.5" customHeight="1">
      <c r="A15" s="1"/>
      <c r="B15" s="13" t="s">
        <v>16</v>
      </c>
      <c r="C15" s="14">
        <f t="shared" si="1"/>
        <v>79</v>
      </c>
      <c r="D15" s="14">
        <f t="shared" si="6"/>
        <v>79</v>
      </c>
      <c r="E15" s="14">
        <f t="shared" si="7"/>
        <v>79</v>
      </c>
      <c r="F15" s="15" t="str">
        <f t="shared" si="4"/>
        <v>O</v>
      </c>
      <c r="G15" s="5"/>
      <c r="H15" s="12" t="s">
        <v>11</v>
      </c>
      <c r="I15" s="16" t="s">
        <v>21</v>
      </c>
      <c r="J15" s="17"/>
      <c r="K15" s="18"/>
      <c r="L15" s="19" t="s">
        <v>13</v>
      </c>
      <c r="M15" s="3"/>
      <c r="N15" s="20"/>
      <c r="O15" s="16"/>
      <c r="P15" s="17"/>
      <c r="Q15" s="18"/>
      <c r="R15" s="12"/>
      <c r="S15" s="19" t="str">
        <f>IF(O15="URYCSHY","Correct","")</f>
        <v/>
      </c>
      <c r="T15" s="3"/>
      <c r="U15" s="4"/>
      <c r="V15" s="1"/>
      <c r="W15" s="1"/>
      <c r="X15" s="1"/>
      <c r="Y15" s="1"/>
      <c r="Z15" s="1"/>
    </row>
    <row r="16" ht="25.5" customHeight="1">
      <c r="A16" s="1"/>
      <c r="B16" s="13" t="s">
        <v>22</v>
      </c>
      <c r="C16" s="14">
        <f t="shared" si="1"/>
        <v>82</v>
      </c>
      <c r="D16" s="14">
        <f t="shared" si="6"/>
        <v>82</v>
      </c>
      <c r="E16" s="14">
        <f t="shared" si="7"/>
        <v>82</v>
      </c>
      <c r="F16" s="15" t="str">
        <f t="shared" si="4"/>
        <v>R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</row>
    <row r="17" ht="25.5" customHeight="1">
      <c r="A17" s="1"/>
      <c r="B17" s="13" t="s">
        <v>14</v>
      </c>
      <c r="C17" s="14">
        <f t="shared" si="1"/>
        <v>76</v>
      </c>
      <c r="D17" s="14">
        <f t="shared" si="6"/>
        <v>76</v>
      </c>
      <c r="E17" s="14">
        <f t="shared" si="7"/>
        <v>76</v>
      </c>
      <c r="F17" s="15" t="str">
        <f t="shared" si="4"/>
        <v>L</v>
      </c>
      <c r="G17" s="5"/>
      <c r="H17" s="12" t="s">
        <v>23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"/>
      <c r="W17" s="1"/>
      <c r="X17" s="1"/>
      <c r="Y17" s="1"/>
      <c r="Z17" s="1"/>
    </row>
    <row r="18" ht="25.5" customHeight="1">
      <c r="A18" s="1"/>
      <c r="B18" s="13" t="s">
        <v>24</v>
      </c>
      <c r="C18" s="14">
        <f t="shared" si="1"/>
        <v>68</v>
      </c>
      <c r="D18" s="14">
        <f t="shared" si="6"/>
        <v>68</v>
      </c>
      <c r="E18" s="14">
        <f t="shared" si="7"/>
        <v>68</v>
      </c>
      <c r="F18" s="15" t="str">
        <f t="shared" si="4"/>
        <v>D</v>
      </c>
      <c r="G18" s="5"/>
      <c r="H18" s="12" t="s">
        <v>11</v>
      </c>
      <c r="I18" s="16" t="s">
        <v>25</v>
      </c>
      <c r="J18" s="17"/>
      <c r="K18" s="18"/>
      <c r="L18" s="19" t="s">
        <v>13</v>
      </c>
      <c r="M18" s="3"/>
      <c r="N18" s="20"/>
      <c r="O18" s="16"/>
      <c r="P18" s="17"/>
      <c r="Q18" s="18"/>
      <c r="R18" s="12"/>
      <c r="S18" s="19" t="str">
        <f>IF(O18="FETV","Correct","")</f>
        <v/>
      </c>
      <c r="T18" s="3"/>
      <c r="U18" s="4"/>
      <c r="V18" s="1"/>
      <c r="W18" s="1"/>
      <c r="X18" s="1"/>
      <c r="Y18" s="1"/>
      <c r="Z18" s="1"/>
    </row>
    <row r="19" ht="25.5" customHeight="1">
      <c r="A19" s="1"/>
      <c r="B19" s="13" t="s">
        <v>18</v>
      </c>
      <c r="C19" s="14">
        <f t="shared" si="1"/>
        <v>32</v>
      </c>
      <c r="D19" s="14">
        <f t="shared" si="6"/>
        <v>32</v>
      </c>
      <c r="E19" s="14">
        <f t="shared" si="7"/>
        <v>32</v>
      </c>
      <c r="F19" s="15"/>
      <c r="G19" s="5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"/>
      <c r="W19" s="1"/>
      <c r="X19" s="1"/>
      <c r="Y19" s="1"/>
      <c r="Z19" s="1"/>
    </row>
    <row r="20" ht="25.5" customHeight="1">
      <c r="A20" s="1"/>
      <c r="B20" s="13" t="s">
        <v>18</v>
      </c>
      <c r="C20" s="14">
        <f t="shared" si="1"/>
        <v>32</v>
      </c>
      <c r="D20" s="14">
        <f t="shared" si="6"/>
        <v>32</v>
      </c>
      <c r="E20" s="14">
        <f t="shared" si="7"/>
        <v>32</v>
      </c>
      <c r="F20" s="15"/>
      <c r="G20" s="5"/>
      <c r="H20" s="12" t="s">
        <v>26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"/>
      <c r="W20" s="1"/>
      <c r="X20" s="1"/>
      <c r="Y20" s="1"/>
      <c r="Z20" s="1"/>
    </row>
    <row r="21" ht="25.5" customHeight="1">
      <c r="A21" s="1"/>
      <c r="B21" s="13" t="s">
        <v>18</v>
      </c>
      <c r="C21" s="14">
        <f t="shared" si="1"/>
        <v>32</v>
      </c>
      <c r="D21" s="14">
        <f t="shared" si="6"/>
        <v>32</v>
      </c>
      <c r="E21" s="14">
        <f t="shared" si="7"/>
        <v>32</v>
      </c>
      <c r="F21" s="15" t="str">
        <f t="shared" ref="F21:F27" si="8">CHAR(E21)</f>
        <v> </v>
      </c>
      <c r="G21" s="5"/>
      <c r="H21" s="12" t="s">
        <v>11</v>
      </c>
      <c r="I21" s="16" t="s">
        <v>27</v>
      </c>
      <c r="J21" s="17"/>
      <c r="K21" s="18"/>
      <c r="L21" s="19" t="s">
        <v>13</v>
      </c>
      <c r="M21" s="3"/>
      <c r="N21" s="20"/>
      <c r="O21" s="16"/>
      <c r="P21" s="17"/>
      <c r="Q21" s="18"/>
      <c r="R21" s="12"/>
      <c r="S21" s="19" t="str">
        <f>IF(O21="LNKCNWIIAZ","Correct","")</f>
        <v/>
      </c>
      <c r="T21" s="3"/>
      <c r="U21" s="4"/>
      <c r="V21" s="1"/>
      <c r="W21" s="1"/>
      <c r="X21" s="1"/>
      <c r="Y21" s="1"/>
      <c r="Z21" s="1"/>
    </row>
    <row r="22" ht="25.5" customHeight="1">
      <c r="A22" s="1"/>
      <c r="B22" s="13" t="s">
        <v>18</v>
      </c>
      <c r="C22" s="14">
        <f t="shared" si="1"/>
        <v>32</v>
      </c>
      <c r="D22" s="14">
        <f t="shared" si="6"/>
        <v>32</v>
      </c>
      <c r="E22" s="14">
        <f t="shared" si="7"/>
        <v>32</v>
      </c>
      <c r="F22" s="15" t="str">
        <f t="shared" si="8"/>
        <v> </v>
      </c>
      <c r="G22" s="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"/>
      <c r="W22" s="1"/>
      <c r="X22" s="1"/>
      <c r="Y22" s="1"/>
      <c r="Z22" s="1"/>
    </row>
    <row r="23" ht="25.5" customHeight="1">
      <c r="A23" s="1"/>
      <c r="B23" s="13" t="s">
        <v>18</v>
      </c>
      <c r="C23" s="14">
        <f t="shared" si="1"/>
        <v>32</v>
      </c>
      <c r="D23" s="14">
        <f t="shared" si="6"/>
        <v>32</v>
      </c>
      <c r="E23" s="14">
        <f t="shared" si="7"/>
        <v>32</v>
      </c>
      <c r="F23" s="15" t="str">
        <f t="shared" si="8"/>
        <v> </v>
      </c>
      <c r="G23" s="5"/>
      <c r="H23" s="12"/>
      <c r="I23" s="19"/>
      <c r="J23" s="3"/>
      <c r="K23" s="4"/>
      <c r="L23" s="19"/>
      <c r="M23" s="3"/>
      <c r="N23" s="4"/>
      <c r="O23" s="19"/>
      <c r="P23" s="3"/>
      <c r="Q23" s="4"/>
      <c r="R23" s="12"/>
      <c r="S23" s="19"/>
      <c r="T23" s="3"/>
      <c r="U23" s="4"/>
      <c r="V23" s="1"/>
      <c r="W23" s="1"/>
      <c r="X23" s="1"/>
      <c r="Y23" s="1"/>
      <c r="Z23" s="1"/>
    </row>
    <row r="24" ht="25.5" customHeight="1">
      <c r="A24" s="1"/>
      <c r="B24" s="13" t="s">
        <v>18</v>
      </c>
      <c r="C24" s="14">
        <f t="shared" si="1"/>
        <v>32</v>
      </c>
      <c r="D24" s="14">
        <f t="shared" si="6"/>
        <v>32</v>
      </c>
      <c r="E24" s="14">
        <f t="shared" si="7"/>
        <v>32</v>
      </c>
      <c r="F24" s="15" t="str">
        <f t="shared" si="8"/>
        <v> </v>
      </c>
      <c r="G24" s="5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"/>
      <c r="W24" s="1"/>
      <c r="X24" s="1"/>
      <c r="Y24" s="1"/>
      <c r="Z24" s="1"/>
    </row>
    <row r="25" ht="25.5" customHeight="1">
      <c r="A25" s="1"/>
      <c r="B25" s="13" t="s">
        <v>18</v>
      </c>
      <c r="C25" s="14">
        <f t="shared" si="1"/>
        <v>32</v>
      </c>
      <c r="D25" s="14">
        <f t="shared" si="6"/>
        <v>32</v>
      </c>
      <c r="E25" s="14">
        <f t="shared" si="7"/>
        <v>32</v>
      </c>
      <c r="F25" s="15" t="str">
        <f t="shared" si="8"/>
        <v> </v>
      </c>
      <c r="G25" s="5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"/>
      <c r="W25" s="1"/>
      <c r="X25" s="1"/>
      <c r="Y25" s="1"/>
      <c r="Z25" s="1"/>
    </row>
    <row r="26" ht="25.5" customHeight="1">
      <c r="A26" s="1"/>
      <c r="B26" s="13" t="s">
        <v>18</v>
      </c>
      <c r="C26" s="14">
        <f t="shared" si="1"/>
        <v>32</v>
      </c>
      <c r="D26" s="14">
        <f t="shared" si="6"/>
        <v>32</v>
      </c>
      <c r="E26" s="14">
        <f t="shared" si="7"/>
        <v>32</v>
      </c>
      <c r="F26" s="15" t="str">
        <f t="shared" si="8"/>
        <v> </v>
      </c>
      <c r="G26" s="5"/>
      <c r="H26" s="12"/>
      <c r="I26" s="19"/>
      <c r="J26" s="3"/>
      <c r="K26" s="4"/>
      <c r="L26" s="19"/>
      <c r="M26" s="3"/>
      <c r="N26" s="4"/>
      <c r="O26" s="19"/>
      <c r="P26" s="3"/>
      <c r="Q26" s="4"/>
      <c r="R26" s="12"/>
      <c r="S26" s="19"/>
      <c r="T26" s="3"/>
      <c r="U26" s="4"/>
      <c r="V26" s="1"/>
      <c r="W26" s="1"/>
      <c r="X26" s="1"/>
      <c r="Y26" s="1"/>
      <c r="Z26" s="1"/>
    </row>
    <row r="27" ht="25.5" customHeight="1">
      <c r="A27" s="1"/>
      <c r="B27" s="21" t="s">
        <v>18</v>
      </c>
      <c r="C27" s="22">
        <f t="shared" si="1"/>
        <v>32</v>
      </c>
      <c r="D27" s="22">
        <f t="shared" si="6"/>
        <v>32</v>
      </c>
      <c r="E27" s="22">
        <f t="shared" si="7"/>
        <v>32</v>
      </c>
      <c r="F27" s="23" t="str">
        <f t="shared" si="8"/>
        <v> 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</row>
    <row r="28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B2:J2"/>
    <mergeCell ref="I9:K9"/>
    <mergeCell ref="L9:N9"/>
    <mergeCell ref="O9:Q9"/>
    <mergeCell ref="S9:U9"/>
    <mergeCell ref="I12:K12"/>
    <mergeCell ref="L12:N12"/>
    <mergeCell ref="O12:Q12"/>
    <mergeCell ref="S12:U12"/>
    <mergeCell ref="I15:K15"/>
    <mergeCell ref="L15:N15"/>
    <mergeCell ref="O15:Q15"/>
    <mergeCell ref="S15:U15"/>
    <mergeCell ref="I18:K18"/>
    <mergeCell ref="S18:U18"/>
    <mergeCell ref="L23:N23"/>
    <mergeCell ref="O23:Q23"/>
    <mergeCell ref="I26:K26"/>
    <mergeCell ref="L26:N26"/>
    <mergeCell ref="O26:Q26"/>
    <mergeCell ref="S26:U26"/>
    <mergeCell ref="L18:N18"/>
    <mergeCell ref="O18:Q18"/>
    <mergeCell ref="I21:K21"/>
    <mergeCell ref="L21:N21"/>
    <mergeCell ref="O21:Q21"/>
    <mergeCell ref="S21:U21"/>
    <mergeCell ref="I23:K23"/>
    <mergeCell ref="S23:U23"/>
  </mergeCells>
  <conditionalFormatting sqref="S9">
    <cfRule type="cellIs" dxfId="0" priority="1" operator="equal">
      <formula>"Correct"</formula>
    </cfRule>
  </conditionalFormatting>
  <conditionalFormatting sqref="S12">
    <cfRule type="cellIs" dxfId="0" priority="2" operator="equal">
      <formula>"Correct"</formula>
    </cfRule>
  </conditionalFormatting>
  <conditionalFormatting sqref="S15">
    <cfRule type="cellIs" dxfId="0" priority="3" operator="equal">
      <formula>"Correct"</formula>
    </cfRule>
  </conditionalFormatting>
  <conditionalFormatting sqref="S26">
    <cfRule type="cellIs" dxfId="0" priority="4" operator="equal">
      <formula>"Correct"</formula>
    </cfRule>
  </conditionalFormatting>
  <conditionalFormatting sqref="S23">
    <cfRule type="cellIs" dxfId="0" priority="5" operator="equal">
      <formula>"Correct"</formula>
    </cfRule>
  </conditionalFormatting>
  <conditionalFormatting sqref="S18">
    <cfRule type="cellIs" dxfId="0" priority="6" operator="equal">
      <formula>"Correct"</formula>
    </cfRule>
  </conditionalFormatting>
  <conditionalFormatting sqref="S21">
    <cfRule type="cellIs" dxfId="0" priority="7" operator="equal">
      <formula>"Correct"</formula>
    </cfRule>
  </conditionalFormatting>
  <printOptions/>
  <pageMargins bottom="0.75" footer="0.0" header="0.0" left="0.7" right="0.7" top="0.75"/>
  <pageSetup orientation="landscape"/>
  <drawing r:id="rId1"/>
</worksheet>
</file>