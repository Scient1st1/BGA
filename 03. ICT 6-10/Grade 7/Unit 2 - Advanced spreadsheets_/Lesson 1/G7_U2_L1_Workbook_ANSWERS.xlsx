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ity 1.1" sheetId="1" state="visible" r:id="rId1"/>
    <sheet xmlns:r="http://schemas.openxmlformats.org/officeDocument/2006/relationships" name="Activity 1.2" sheetId="2" state="visible" r:id="rId2"/>
    <sheet xmlns:r="http://schemas.openxmlformats.org/officeDocument/2006/relationships" name="Activity 1.3" sheetId="3" state="visible" r:id="rId3"/>
    <sheet xmlns:r="http://schemas.openxmlformats.org/officeDocument/2006/relationships" name="Activity 1.4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₾&quot;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sz val="11"/>
    </font>
    <font>
      <sz val="11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3" borderId="1" pivotButton="0" quotePrefix="0" xfId="0"/>
    <xf numFmtId="0" fontId="4" fillId="0" borderId="0" pivotButton="0" quotePrefix="0" xfId="0"/>
    <xf numFmtId="0" fontId="0" fillId="2" borderId="1" pivotButton="0" quotePrefix="0" xfId="0"/>
    <xf numFmtId="0" fontId="0" fillId="4" borderId="1" pivotButton="0" quotePrefix="0" xfId="0"/>
    <xf numFmtId="164" fontId="0" fillId="4" borderId="1" pivotButton="0" quotePrefix="0" xfId="0"/>
    <xf numFmtId="164" fontId="0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9" fontId="0" fillId="2" borderId="1" pivotButton="0" quotePrefix="0" xfId="0"/>
    <xf numFmtId="9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5" max="5"/>
    <col width="10" customWidth="1" min="6" max="6"/>
  </cols>
  <sheetData>
    <row r="1">
      <c r="A1" s="1" t="inlineStr">
        <is>
          <t>Activity 1.1: Stationery shop</t>
        </is>
      </c>
    </row>
    <row r="3">
      <c r="A3" s="2" t="inlineStr">
        <is>
          <t>Part 1</t>
        </is>
      </c>
    </row>
    <row r="4">
      <c r="A4" s="3" t="inlineStr">
        <is>
          <t>1. The shop's price list is in the blue table (E9:F14). The items are already in alphabetical order.</t>
        </is>
      </c>
    </row>
    <row r="5">
      <c r="A5" s="3" t="inlineStr">
        <is>
          <t>2. Click cell B9. Create a drop-down list (Data &gt; Data Validation &gt; Allow: List) using the items in E9:E14.</t>
        </is>
      </c>
    </row>
    <row r="6">
      <c r="A6" s="3" t="inlineStr">
        <is>
          <t>3. Test it: choose three different items from your list.</t>
        </is>
      </c>
    </row>
    <row r="7">
      <c r="A7" s="2" t="inlineStr">
        <is>
          <t>Part 2</t>
        </is>
      </c>
    </row>
    <row r="8">
      <c r="A8" s="3" t="inlineStr">
        <is>
          <t>4. In cell C11, write a VLOOKUP function that shows the price of the item chosen in B9.</t>
        </is>
      </c>
      <c r="E8" s="4" t="inlineStr">
        <is>
          <t>Item</t>
        </is>
      </c>
      <c r="F8" s="4" t="inlineStr">
        <is>
          <t>Price</t>
        </is>
      </c>
    </row>
    <row r="9">
      <c r="A9" s="5" t="inlineStr">
        <is>
          <t>Choose an item:</t>
        </is>
      </c>
      <c r="B9" s="6" t="inlineStr">
        <is>
          <t>Notebook</t>
        </is>
      </c>
      <c r="E9" s="7" t="inlineStr">
        <is>
          <t>Eraser</t>
        </is>
      </c>
      <c r="F9" s="8" t="n">
        <v>0.8</v>
      </c>
    </row>
    <row r="10">
      <c r="E10" s="7" t="inlineStr">
        <is>
          <t>Glue stick</t>
        </is>
      </c>
      <c r="F10" s="8" t="n">
        <v>2.5</v>
      </c>
    </row>
    <row r="11">
      <c r="B11" s="5" t="inlineStr">
        <is>
          <t>Price:</t>
        </is>
      </c>
      <c r="C11" s="9">
        <f>VLOOKUP(B9,$E$9:$F$14,2)</f>
        <v/>
      </c>
      <c r="E11" s="7" t="inlineStr">
        <is>
          <t>Notebook</t>
        </is>
      </c>
      <c r="F11" s="8" t="n">
        <v>3</v>
      </c>
    </row>
    <row r="12">
      <c r="E12" s="7" t="inlineStr">
        <is>
          <t>Pen</t>
        </is>
      </c>
      <c r="F12" s="8" t="n">
        <v>1.2</v>
      </c>
    </row>
    <row r="13">
      <c r="A13" t="inlineStr">
        <is>
          <t>Quantity:</t>
        </is>
      </c>
      <c r="B13" s="6" t="n">
        <v>4</v>
      </c>
      <c r="E13" s="7" t="inlineStr">
        <is>
          <t>Pencil</t>
        </is>
      </c>
      <c r="F13" s="8" t="n">
        <v>0.5</v>
      </c>
    </row>
    <row r="14">
      <c r="E14" s="7" t="inlineStr">
        <is>
          <t>Ruler</t>
        </is>
      </c>
      <c r="F14" s="8" t="n">
        <v>1.5</v>
      </c>
    </row>
    <row r="15">
      <c r="B15" s="5" t="inlineStr">
        <is>
          <t>Total cost:</t>
        </is>
      </c>
      <c r="C15" s="9">
        <f>C11*B13</f>
        <v/>
      </c>
    </row>
  </sheetData>
  <dataValidations count="1">
    <dataValidation sqref="B9" showDropDown="0" showInputMessage="0" showErrorMessage="0" allowBlank="1" type="list">
      <formula1>=$E$9:$E$14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2" customWidth="1" min="4" max="4"/>
    <col width="3" customWidth="1" min="5" max="5"/>
    <col width="11" customWidth="1" min="6" max="6"/>
    <col width="8" customWidth="1" min="7" max="7"/>
  </cols>
  <sheetData>
    <row r="1">
      <c r="A1" s="1" t="inlineStr">
        <is>
          <t>Activity 1.2: Exam grades</t>
        </is>
      </c>
    </row>
    <row r="3">
      <c r="A3" s="3" t="inlineStr">
        <is>
          <t>The blue table (F8:G14) shows the school's grade boundaries. A mark of 68 gets a C because 68 is at least 55 but below 70.</t>
        </is>
      </c>
    </row>
    <row r="4">
      <c r="A4" s="3" t="inlineStr">
        <is>
          <t>1. In cell C8, write a VLOOKUP function that finds Nino's grade. Use absolute references for the table ($F$8:$G$14).</t>
        </is>
      </c>
    </row>
    <row r="5">
      <c r="A5" s="3" t="inlineStr">
        <is>
          <t>2. Replicate the function down to C13.</t>
        </is>
      </c>
    </row>
    <row r="6">
      <c r="A6" s="3" t="inlineStr">
        <is>
          <t>3. In cell D8, write an IF function that shows Pass if the mark is 60 or more, and Fail if it is not. Replicate it down to D13.</t>
        </is>
      </c>
    </row>
    <row r="7">
      <c r="A7" s="4" t="inlineStr">
        <is>
          <t>Name</t>
        </is>
      </c>
      <c r="B7" s="4" t="inlineStr">
        <is>
          <t>Mark</t>
        </is>
      </c>
      <c r="C7" s="4" t="inlineStr">
        <is>
          <t>Grade</t>
        </is>
      </c>
      <c r="D7" s="4" t="inlineStr">
        <is>
          <t>Pass or Fail</t>
        </is>
      </c>
      <c r="F7" s="4" t="inlineStr">
        <is>
          <t>Mark from</t>
        </is>
      </c>
      <c r="G7" s="4" t="inlineStr">
        <is>
          <t>Grade</t>
        </is>
      </c>
    </row>
    <row r="8">
      <c r="A8" s="10" t="inlineStr">
        <is>
          <t>Nino</t>
        </is>
      </c>
      <c r="B8" s="10" t="n">
        <v>68</v>
      </c>
      <c r="C8" s="6">
        <f>VLOOKUP(B8,$F$8:$G$14,2)</f>
        <v/>
      </c>
      <c r="D8" s="6">
        <f>IF(B8&gt;=60,"Pass","Fail")</f>
        <v/>
      </c>
      <c r="F8" s="7" t="n">
        <v>0</v>
      </c>
      <c r="G8" s="7" t="inlineStr">
        <is>
          <t>G</t>
        </is>
      </c>
    </row>
    <row r="9">
      <c r="A9" s="10" t="inlineStr">
        <is>
          <t>Giorgi</t>
        </is>
      </c>
      <c r="B9" s="10" t="n">
        <v>91</v>
      </c>
      <c r="C9" s="6">
        <f>VLOOKUP(B9,$F$8:$G$14,2)</f>
        <v/>
      </c>
      <c r="D9" s="6">
        <f>IF(B9&gt;=60,"Pass","Fail")</f>
        <v/>
      </c>
      <c r="F9" s="7" t="n">
        <v>10</v>
      </c>
      <c r="G9" s="7" t="inlineStr">
        <is>
          <t>F</t>
        </is>
      </c>
    </row>
    <row r="10">
      <c r="A10" s="10" t="inlineStr">
        <is>
          <t>Mariam</t>
        </is>
      </c>
      <c r="B10" s="10" t="n">
        <v>47</v>
      </c>
      <c r="C10" s="6">
        <f>VLOOKUP(B10,$F$8:$G$14,2)</f>
        <v/>
      </c>
      <c r="D10" s="6">
        <f>IF(B10&gt;=60,"Pass","Fail")</f>
        <v/>
      </c>
      <c r="F10" s="7" t="n">
        <v>25</v>
      </c>
      <c r="G10" s="7" t="inlineStr">
        <is>
          <t>E</t>
        </is>
      </c>
    </row>
    <row r="11">
      <c r="A11" s="10" t="inlineStr">
        <is>
          <t>Luka</t>
        </is>
      </c>
      <c r="B11" s="10" t="n">
        <v>59</v>
      </c>
      <c r="C11" s="6">
        <f>VLOOKUP(B11,$F$8:$G$14,2)</f>
        <v/>
      </c>
      <c r="D11" s="6">
        <f>IF(B11&gt;=60,"Pass","Fail")</f>
        <v/>
      </c>
      <c r="F11" s="7" t="n">
        <v>40</v>
      </c>
      <c r="G11" s="7" t="inlineStr">
        <is>
          <t>D</t>
        </is>
      </c>
    </row>
    <row r="12">
      <c r="A12" s="10" t="inlineStr">
        <is>
          <t>Ana</t>
        </is>
      </c>
      <c r="B12" s="10" t="n">
        <v>23</v>
      </c>
      <c r="C12" s="6">
        <f>VLOOKUP(B12,$F$8:$G$14,2)</f>
        <v/>
      </c>
      <c r="D12" s="6">
        <f>IF(B12&gt;=60,"Pass","Fail")</f>
        <v/>
      </c>
      <c r="F12" s="7" t="n">
        <v>55</v>
      </c>
      <c r="G12" s="7" t="inlineStr">
        <is>
          <t>C</t>
        </is>
      </c>
    </row>
    <row r="13">
      <c r="A13" s="10" t="inlineStr">
        <is>
          <t>Saba</t>
        </is>
      </c>
      <c r="B13" s="10" t="n">
        <v>85</v>
      </c>
      <c r="C13" s="6">
        <f>VLOOKUP(B13,$F$8:$G$14,2)</f>
        <v/>
      </c>
      <c r="D13" s="6">
        <f>IF(B13&gt;=60,"Pass","Fail")</f>
        <v/>
      </c>
      <c r="F13" s="7" t="n">
        <v>70</v>
      </c>
      <c r="G13" s="7" t="inlineStr">
        <is>
          <t>B</t>
        </is>
      </c>
    </row>
    <row r="14">
      <c r="F14" s="7" t="n">
        <v>85</v>
      </c>
      <c r="G14" s="7" t="inlineStr">
        <is>
          <t>A</t>
        </is>
      </c>
    </row>
    <row r="16">
      <c r="A16" t="inlineStr">
        <is>
          <t>The spreadsheet is right: the pass mark (60) sits inside the C band (55-69). The rule, not the formula, causes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Activity 1.3: Countries and capital cities</t>
        </is>
      </c>
    </row>
    <row r="3">
      <c r="A3" s="2" t="inlineStr">
        <is>
          <t>Step 1. The table in A13:B42 is NOT in order. Select ALL of A13:B42 (both columns!) and sort it A to Z by Country.</t>
        </is>
      </c>
    </row>
    <row r="4">
      <c r="A4" s="2" t="inlineStr">
        <is>
          <t>Step 2. In cell B7, create a drop-down list of all the countries in A13:A42.</t>
        </is>
      </c>
    </row>
    <row r="5">
      <c r="A5" s="2" t="inlineStr">
        <is>
          <t>Step 3. In cell B9, write a VLOOKUP function that shows the capital city of the country chosen in B7.</t>
        </is>
      </c>
    </row>
    <row r="6">
      <c r="A6" s="2" t="inlineStr">
        <is>
          <t>Step 4. Test it with Georgia, Japan and Peru. Are the capitals right?</t>
        </is>
      </c>
    </row>
    <row r="7">
      <c r="A7" s="5" t="inlineStr">
        <is>
          <t>Country:</t>
        </is>
      </c>
      <c r="B7" s="6" t="inlineStr">
        <is>
          <t>Georgia</t>
        </is>
      </c>
    </row>
    <row r="9">
      <c r="A9" s="5" t="inlineStr">
        <is>
          <t>Capital city:</t>
        </is>
      </c>
      <c r="B9" s="6">
        <f>VLOOKUP(B7,$A$13:$B$42,2)</f>
        <v/>
      </c>
    </row>
    <row r="12">
      <c r="A12" s="4" t="inlineStr">
        <is>
          <t>Country</t>
        </is>
      </c>
      <c r="B12" s="4" t="inlineStr">
        <is>
          <t>Capital city</t>
        </is>
      </c>
    </row>
    <row r="13">
      <c r="A13" s="7" t="inlineStr">
        <is>
          <t>Argentina</t>
        </is>
      </c>
      <c r="B13" s="7" t="inlineStr">
        <is>
          <t>Buenos Aires</t>
        </is>
      </c>
    </row>
    <row r="14">
      <c r="A14" s="7" t="inlineStr">
        <is>
          <t>Armenia</t>
        </is>
      </c>
      <c r="B14" s="7" t="inlineStr">
        <is>
          <t>Yerevan</t>
        </is>
      </c>
    </row>
    <row r="15">
      <c r="A15" s="7" t="inlineStr">
        <is>
          <t>Australia</t>
        </is>
      </c>
      <c r="B15" s="7" t="inlineStr">
        <is>
          <t>Canberra</t>
        </is>
      </c>
    </row>
    <row r="16">
      <c r="A16" s="7" t="inlineStr">
        <is>
          <t>Azerbaijan</t>
        </is>
      </c>
      <c r="B16" s="7" t="inlineStr">
        <is>
          <t>Baku</t>
        </is>
      </c>
    </row>
    <row r="17">
      <c r="A17" s="7" t="inlineStr">
        <is>
          <t>Brazil</t>
        </is>
      </c>
      <c r="B17" s="7" t="inlineStr">
        <is>
          <t>Brasília</t>
        </is>
      </c>
    </row>
    <row r="18">
      <c r="A18" s="7" t="inlineStr">
        <is>
          <t>Canada</t>
        </is>
      </c>
      <c r="B18" s="7" t="inlineStr">
        <is>
          <t>Ottawa</t>
        </is>
      </c>
    </row>
    <row r="19">
      <c r="A19" s="7" t="inlineStr">
        <is>
          <t>China</t>
        </is>
      </c>
      <c r="B19" s="7" t="inlineStr">
        <is>
          <t>Beijing</t>
        </is>
      </c>
    </row>
    <row r="20">
      <c r="A20" s="7" t="inlineStr">
        <is>
          <t>Egypt</t>
        </is>
      </c>
      <c r="B20" s="7" t="inlineStr">
        <is>
          <t>Cairo</t>
        </is>
      </c>
    </row>
    <row r="21">
      <c r="A21" s="7" t="inlineStr">
        <is>
          <t>France</t>
        </is>
      </c>
      <c r="B21" s="7" t="inlineStr">
        <is>
          <t>Paris</t>
        </is>
      </c>
    </row>
    <row r="22">
      <c r="A22" s="7" t="inlineStr">
        <is>
          <t>Georgia</t>
        </is>
      </c>
      <c r="B22" s="7" t="inlineStr">
        <is>
          <t>Tbilisi</t>
        </is>
      </c>
    </row>
    <row r="23">
      <c r="A23" s="7" t="inlineStr">
        <is>
          <t>Germany</t>
        </is>
      </c>
      <c r="B23" s="7" t="inlineStr">
        <is>
          <t>Berlin</t>
        </is>
      </c>
    </row>
    <row r="24">
      <c r="A24" s="7" t="inlineStr">
        <is>
          <t>Greece</t>
        </is>
      </c>
      <c r="B24" s="7" t="inlineStr">
        <is>
          <t>Athens</t>
        </is>
      </c>
    </row>
    <row r="25">
      <c r="A25" s="7" t="inlineStr">
        <is>
          <t>India</t>
        </is>
      </c>
      <c r="B25" s="7" t="inlineStr">
        <is>
          <t>New Delhi</t>
        </is>
      </c>
    </row>
    <row r="26">
      <c r="A26" s="7" t="inlineStr">
        <is>
          <t>Italy</t>
        </is>
      </c>
      <c r="B26" s="7" t="inlineStr">
        <is>
          <t>Rome</t>
        </is>
      </c>
    </row>
    <row r="27">
      <c r="A27" s="7" t="inlineStr">
        <is>
          <t>Japan</t>
        </is>
      </c>
      <c r="B27" s="7" t="inlineStr">
        <is>
          <t>Tokyo</t>
        </is>
      </c>
    </row>
    <row r="28">
      <c r="A28" s="7" t="inlineStr">
        <is>
          <t>Kazakhstan</t>
        </is>
      </c>
      <c r="B28" s="7" t="inlineStr">
        <is>
          <t>Astana</t>
        </is>
      </c>
    </row>
    <row r="29">
      <c r="A29" s="7" t="inlineStr">
        <is>
          <t>Kenya</t>
        </is>
      </c>
      <c r="B29" s="7" t="inlineStr">
        <is>
          <t>Nairobi</t>
        </is>
      </c>
    </row>
    <row r="30">
      <c r="A30" s="7" t="inlineStr">
        <is>
          <t>Mexico</t>
        </is>
      </c>
      <c r="B30" s="7" t="inlineStr">
        <is>
          <t>Mexico City</t>
        </is>
      </c>
    </row>
    <row r="31">
      <c r="A31" s="7" t="inlineStr">
        <is>
          <t>Nigeria</t>
        </is>
      </c>
      <c r="B31" s="7" t="inlineStr">
        <is>
          <t>Abuja</t>
        </is>
      </c>
    </row>
    <row r="32">
      <c r="A32" s="7" t="inlineStr">
        <is>
          <t>Norway</t>
        </is>
      </c>
      <c r="B32" s="7" t="inlineStr">
        <is>
          <t>Oslo</t>
        </is>
      </c>
    </row>
    <row r="33">
      <c r="A33" s="7" t="inlineStr">
        <is>
          <t>Peru</t>
        </is>
      </c>
      <c r="B33" s="7" t="inlineStr">
        <is>
          <t>Lima</t>
        </is>
      </c>
    </row>
    <row r="34">
      <c r="A34" s="7" t="inlineStr">
        <is>
          <t>Poland</t>
        </is>
      </c>
      <c r="B34" s="7" t="inlineStr">
        <is>
          <t>Warsaw</t>
        </is>
      </c>
    </row>
    <row r="35">
      <c r="A35" s="7" t="inlineStr">
        <is>
          <t>Portugal</t>
        </is>
      </c>
      <c r="B35" s="7" t="inlineStr">
        <is>
          <t>Lisbon</t>
        </is>
      </c>
    </row>
    <row r="36">
      <c r="A36" s="7" t="inlineStr">
        <is>
          <t>South Korea</t>
        </is>
      </c>
      <c r="B36" s="7" t="inlineStr">
        <is>
          <t>Seoul</t>
        </is>
      </c>
    </row>
    <row r="37">
      <c r="A37" s="7" t="inlineStr">
        <is>
          <t>Spain</t>
        </is>
      </c>
      <c r="B37" s="7" t="inlineStr">
        <is>
          <t>Madrid</t>
        </is>
      </c>
    </row>
    <row r="38">
      <c r="A38" s="7" t="inlineStr">
        <is>
          <t>Switzerland</t>
        </is>
      </c>
      <c r="B38" s="7" t="inlineStr">
        <is>
          <t>Bern</t>
        </is>
      </c>
    </row>
    <row r="39">
      <c r="A39" s="7" t="inlineStr">
        <is>
          <t>Turkey</t>
        </is>
      </c>
      <c r="B39" s="7" t="inlineStr">
        <is>
          <t>Ankara</t>
        </is>
      </c>
    </row>
    <row r="40">
      <c r="A40" s="7" t="inlineStr">
        <is>
          <t>Ukraine</t>
        </is>
      </c>
      <c r="B40" s="7" t="inlineStr">
        <is>
          <t>Kyiv</t>
        </is>
      </c>
    </row>
    <row r="41">
      <c r="A41" s="7" t="inlineStr">
        <is>
          <t>United Kingdom</t>
        </is>
      </c>
      <c r="B41" s="7" t="inlineStr">
        <is>
          <t>London</t>
        </is>
      </c>
    </row>
    <row r="42">
      <c r="A42" s="7" t="inlineStr">
        <is>
          <t>United States</t>
        </is>
      </c>
      <c r="B42" s="7" t="inlineStr">
        <is>
          <t>Washington, D.C.</t>
        </is>
      </c>
    </row>
  </sheetData>
  <dataValidations count="1">
    <dataValidation sqref="B7" showDropDown="0" showInputMessage="0" showErrorMessage="0" allowBlank="1" type="list">
      <formula1>=$A$13:$A$42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1" customWidth="1" min="3" max="3"/>
    <col width="13" customWidth="1" min="4" max="4"/>
    <col width="9" customWidth="1" min="5" max="5"/>
    <col width="11" customWidth="1" min="6" max="6"/>
    <col width="13" customWidth="1" min="7" max="7"/>
    <col width="13" customWidth="1" min="8" max="8"/>
  </cols>
  <sheetData>
    <row r="1">
      <c r="A1" s="1" t="inlineStr">
        <is>
          <t>Activity 1.4: Cars</t>
        </is>
      </c>
    </row>
    <row r="3">
      <c r="A3" s="3" t="inlineStr">
        <is>
          <t>A car dealer adds a tax to every car. The tax depends on how much CO2 the car produces.</t>
        </is>
      </c>
    </row>
    <row r="4">
      <c r="A4" s="3" t="inlineStr">
        <is>
          <t>1. Format the prices in column B, and columns F and G, as currency.</t>
        </is>
      </c>
    </row>
    <row r="5">
      <c r="A5" s="3" t="inlineStr">
        <is>
          <t>2. In D16, write a VLOOKUP that uses the CO2 value in C16 and the table in A28:B31 to show the fuel economy. Replicate down to D23.</t>
        </is>
      </c>
    </row>
    <row r="6">
      <c r="A6" s="3" t="inlineStr">
        <is>
          <t>3. The table in A35:B38 is not in order. Sort it A to Z by fuel economy (select BOTH columns).</t>
        </is>
      </c>
    </row>
    <row r="7">
      <c r="A7" s="3" t="inlineStr">
        <is>
          <t>4. In E16, write a VLOOKUP that uses D16 and the table in A35:B38 to show the tax rate. Replicate down to E23.</t>
        </is>
      </c>
    </row>
    <row r="8">
      <c r="A8" s="3" t="inlineStr">
        <is>
          <t>5. In F16, calculate the tax (price x tax rate). In G16, calculate the total price (price + tax). Replicate both.</t>
        </is>
      </c>
    </row>
    <row r="9">
      <c r="A9" s="3" t="inlineStr">
        <is>
          <t>6. In H16, write an IF that shows Yes if the total price is below 30,000 and No if not. Replicate down to H23.</t>
        </is>
      </c>
    </row>
    <row r="10">
      <c r="A10" s="3" t="inlineStr">
        <is>
          <t>Remember: use absolute references for the lookup tables so they do not move when you replicate.</t>
        </is>
      </c>
    </row>
    <row r="15">
      <c r="A15" s="4" t="inlineStr">
        <is>
          <t>Car</t>
        </is>
      </c>
      <c r="B15" s="4" t="inlineStr">
        <is>
          <t>Price</t>
        </is>
      </c>
      <c r="C15" s="4" t="inlineStr">
        <is>
          <t>CO2 (g/km)</t>
        </is>
      </c>
      <c r="D15" s="4" t="inlineStr">
        <is>
          <t>Fuel economy</t>
        </is>
      </c>
      <c r="E15" s="4" t="inlineStr">
        <is>
          <t>Tax rate</t>
        </is>
      </c>
      <c r="F15" s="4" t="inlineStr">
        <is>
          <t>Tax</t>
        </is>
      </c>
      <c r="G15" s="4" t="inlineStr">
        <is>
          <t>Total price</t>
        </is>
      </c>
      <c r="H15" s="4" t="inlineStr">
        <is>
          <t>Under 30,000?</t>
        </is>
      </c>
    </row>
    <row r="16">
      <c r="A16" s="10" t="inlineStr">
        <is>
          <t>City Hatch</t>
        </is>
      </c>
      <c r="B16" s="11" t="n">
        <v>24500</v>
      </c>
      <c r="C16" s="10" t="n">
        <v>118</v>
      </c>
      <c r="D16" s="6">
        <f>VLOOKUP(C16,$A$28:$B$31,2)</f>
        <v/>
      </c>
      <c r="E16" s="12">
        <f>VLOOKUP(D16,$A$35:$B$38,2)</f>
        <v/>
      </c>
      <c r="F16" s="9">
        <f>B16*E16</f>
        <v/>
      </c>
      <c r="G16" s="9">
        <f>B16+F16</f>
        <v/>
      </c>
      <c r="H16" s="6">
        <f>IF(G16&lt;30000,"Yes","No")</f>
        <v/>
      </c>
    </row>
    <row r="17">
      <c r="A17" s="10" t="inlineStr">
        <is>
          <t>Family Saloon</t>
        </is>
      </c>
      <c r="B17" s="11" t="n">
        <v>31000</v>
      </c>
      <c r="C17" s="10" t="n">
        <v>135</v>
      </c>
      <c r="D17" s="6">
        <f>VLOOKUP(C17,$A$28:$B$31,2)</f>
        <v/>
      </c>
      <c r="E17" s="12">
        <f>VLOOKUP(D17,$A$35:$B$38,2)</f>
        <v/>
      </c>
      <c r="F17" s="9">
        <f>B17*E17</f>
        <v/>
      </c>
      <c r="G17" s="9">
        <f>B17+F17</f>
        <v/>
      </c>
      <c r="H17" s="6">
        <f>IF(G17&lt;30000,"Yes","No")</f>
        <v/>
      </c>
    </row>
    <row r="18">
      <c r="A18" s="10" t="inlineStr">
        <is>
          <t>Electric Mini</t>
        </is>
      </c>
      <c r="B18" s="11" t="n">
        <v>38900</v>
      </c>
      <c r="C18" s="10" t="n">
        <v>0</v>
      </c>
      <c r="D18" s="6">
        <f>VLOOKUP(C18,$A$28:$B$31,2)</f>
        <v/>
      </c>
      <c r="E18" s="12">
        <f>VLOOKUP(D18,$A$35:$B$38,2)</f>
        <v/>
      </c>
      <c r="F18" s="9">
        <f>B18*E18</f>
        <v/>
      </c>
      <c r="G18" s="9">
        <f>B18+F18</f>
        <v/>
      </c>
      <c r="H18" s="6">
        <f>IF(G18&lt;30000,"Yes","No")</f>
        <v/>
      </c>
    </row>
    <row r="19">
      <c r="A19" s="10" t="inlineStr">
        <is>
          <t>Hybrid SUV</t>
        </is>
      </c>
      <c r="B19" s="11" t="n">
        <v>52000</v>
      </c>
      <c r="C19" s="10" t="n">
        <v>95</v>
      </c>
      <c r="D19" s="6">
        <f>VLOOKUP(C19,$A$28:$B$31,2)</f>
        <v/>
      </c>
      <c r="E19" s="12">
        <f>VLOOKUP(D19,$A$35:$B$38,2)</f>
        <v/>
      </c>
      <c r="F19" s="9">
        <f>B19*E19</f>
        <v/>
      </c>
      <c r="G19" s="9">
        <f>B19+F19</f>
        <v/>
      </c>
      <c r="H19" s="6">
        <f>IF(G19&lt;30000,"Yes","No")</f>
        <v/>
      </c>
    </row>
    <row r="20">
      <c r="A20" s="10" t="inlineStr">
        <is>
          <t>Sports Coupe</t>
        </is>
      </c>
      <c r="B20" s="11" t="n">
        <v>74000</v>
      </c>
      <c r="C20" s="10" t="n">
        <v>210</v>
      </c>
      <c r="D20" s="6">
        <f>VLOOKUP(C20,$A$28:$B$31,2)</f>
        <v/>
      </c>
      <c r="E20" s="12">
        <f>VLOOKUP(D20,$A$35:$B$38,2)</f>
        <v/>
      </c>
      <c r="F20" s="9">
        <f>B20*E20</f>
        <v/>
      </c>
      <c r="G20" s="9">
        <f>B20+F20</f>
        <v/>
      </c>
      <c r="H20" s="6">
        <f>IF(G20&lt;30000,"Yes","No")</f>
        <v/>
      </c>
    </row>
    <row r="21">
      <c r="A21" s="10" t="inlineStr">
        <is>
          <t>Pickup Truck</t>
        </is>
      </c>
      <c r="B21" s="11" t="n">
        <v>61500</v>
      </c>
      <c r="C21" s="10" t="n">
        <v>245</v>
      </c>
      <c r="D21" s="6">
        <f>VLOOKUP(C21,$A$28:$B$31,2)</f>
        <v/>
      </c>
      <c r="E21" s="12">
        <f>VLOOKUP(D21,$A$35:$B$38,2)</f>
        <v/>
      </c>
      <c r="F21" s="9">
        <f>B21*E21</f>
        <v/>
      </c>
      <c r="G21" s="9">
        <f>B21+F21</f>
        <v/>
      </c>
      <c r="H21" s="6">
        <f>IF(G21&lt;30000,"Yes","No")</f>
        <v/>
      </c>
    </row>
    <row r="22">
      <c r="A22" s="10" t="inlineStr">
        <is>
          <t>Seven-seater</t>
        </is>
      </c>
      <c r="B22" s="11" t="n">
        <v>45800</v>
      </c>
      <c r="C22" s="10" t="n">
        <v>172</v>
      </c>
      <c r="D22" s="6">
        <f>VLOOKUP(C22,$A$28:$B$31,2)</f>
        <v/>
      </c>
      <c r="E22" s="12">
        <f>VLOOKUP(D22,$A$35:$B$38,2)</f>
        <v/>
      </c>
      <c r="F22" s="9">
        <f>B22*E22</f>
        <v/>
      </c>
      <c r="G22" s="9">
        <f>B22+F22</f>
        <v/>
      </c>
      <c r="H22" s="6">
        <f>IF(G22&lt;30000,"Yes","No")</f>
        <v/>
      </c>
    </row>
    <row r="23">
      <c r="A23" s="10" t="inlineStr">
        <is>
          <t>Compact SUV</t>
        </is>
      </c>
      <c r="B23" s="11" t="n">
        <v>28900</v>
      </c>
      <c r="C23" s="10" t="n">
        <v>149</v>
      </c>
      <c r="D23" s="6">
        <f>VLOOKUP(C23,$A$28:$B$31,2)</f>
        <v/>
      </c>
      <c r="E23" s="12">
        <f>VLOOKUP(D23,$A$35:$B$38,2)</f>
        <v/>
      </c>
      <c r="F23" s="9">
        <f>B23*E23</f>
        <v/>
      </c>
      <c r="G23" s="9">
        <f>B23+F23</f>
        <v/>
      </c>
      <c r="H23" s="6">
        <f>IF(G23&lt;30000,"Yes","No")</f>
        <v/>
      </c>
    </row>
    <row r="27">
      <c r="A27" s="4" t="inlineStr">
        <is>
          <t>CO2 from (g/km)</t>
        </is>
      </c>
      <c r="B27" s="4" t="inlineStr">
        <is>
          <t>Fuel economy</t>
        </is>
      </c>
    </row>
    <row r="28">
      <c r="A28" s="7" t="n">
        <v>0</v>
      </c>
      <c r="B28" s="7" t="inlineStr">
        <is>
          <t>Excellent</t>
        </is>
      </c>
    </row>
    <row r="29">
      <c r="A29" s="7" t="n">
        <v>100</v>
      </c>
      <c r="B29" s="7" t="inlineStr">
        <is>
          <t>Good</t>
        </is>
      </c>
    </row>
    <row r="30">
      <c r="A30" s="7" t="n">
        <v>150</v>
      </c>
      <c r="B30" s="7" t="inlineStr">
        <is>
          <t>Average</t>
        </is>
      </c>
    </row>
    <row r="31">
      <c r="A31" s="7" t="n">
        <v>200</v>
      </c>
      <c r="B31" s="7" t="inlineStr">
        <is>
          <t>Poor</t>
        </is>
      </c>
    </row>
    <row r="34">
      <c r="A34" s="4" t="inlineStr">
        <is>
          <t>Fuel economy</t>
        </is>
      </c>
      <c r="B34" s="4" t="inlineStr">
        <is>
          <t>Tax rate</t>
        </is>
      </c>
    </row>
    <row r="35">
      <c r="A35" s="7" t="inlineStr">
        <is>
          <t>Average</t>
        </is>
      </c>
      <c r="B35" s="13" t="n">
        <v>0.1</v>
      </c>
    </row>
    <row r="36">
      <c r="A36" s="7" t="inlineStr">
        <is>
          <t>Excellent</t>
        </is>
      </c>
      <c r="B36" s="13" t="n">
        <v>0</v>
      </c>
    </row>
    <row r="37">
      <c r="A37" s="7" t="inlineStr">
        <is>
          <t>Good</t>
        </is>
      </c>
      <c r="B37" s="13" t="n">
        <v>0.05</v>
      </c>
    </row>
    <row r="38">
      <c r="A38" s="7" t="inlineStr">
        <is>
          <t>Poor</t>
        </is>
      </c>
      <c r="B38" s="13" t="n">
        <v>0.15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2026-10-05T08:34:42Z</dcterms:created>
  <dcterms:modified xmlns:dcterms="http://purl.org/dc/terms/" xmlns:xsi="http://www.w3.org/2001/XMLSchema-instance" xsi:type="dcterms:W3CDTF">2026-10-05T08:34:42Z</dcterms:modified>
</cp:coreProperties>
</file>