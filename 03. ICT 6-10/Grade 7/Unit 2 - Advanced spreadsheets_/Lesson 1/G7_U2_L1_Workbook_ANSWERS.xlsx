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Activity 1.1" sheetId="1" state="visible" r:id="rId1"/>
    <sheet name="Activity 1.2" sheetId="2" state="visible" r:id="rId2"/>
    <sheet name="Activity 1.3" sheetId="3" state="visible" r:id="rId3"/>
    <sheet name="Activity 1.4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<sst xmlns="http://schemas.openxmlformats.org/spreadsheetml/2006/main" count="141" uniqueCount="141">
  <si>
    <t xml:space="preserve">Activity 1.1: Stationery shop</t>
  </si>
  <si>
    <t xml:space="preserve">Part 1</t>
  </si>
  <si>
    <t xml:space="preserve">1. The shop's price list is in the blue table (E9:F14). The items are already in alphabetical order.</t>
  </si>
  <si>
    <t xml:space="preserve">2. Click cell B9. Create a drop-down list (Data &gt; Data Validation &gt; Allow: List) using the items in E9:E14.</t>
  </si>
  <si>
    <t xml:space="preserve">3. Test it: choose three different items from your list.</t>
  </si>
  <si>
    <t xml:space="preserve">Part 2</t>
  </si>
  <si>
    <t xml:space="preserve">4. In cell C11, write a VLOOKUP function that shows the price of the item chosen in B9.</t>
  </si>
  <si>
    <t>Item</t>
  </si>
  <si>
    <t>Price</t>
  </si>
  <si>
    <t xml:space="preserve">Choose an item:</t>
  </si>
  <si>
    <t>Notebook</t>
  </si>
  <si>
    <t>Eraser</t>
  </si>
  <si>
    <t xml:space="preserve">Glue stick</t>
  </si>
  <si>
    <t>Price:</t>
  </si>
  <si>
    <t>Pen</t>
  </si>
  <si>
    <t>Quantity:</t>
  </si>
  <si>
    <t>Pencil</t>
  </si>
  <si>
    <t>Ruler</t>
  </si>
  <si>
    <t xml:space="preserve">Total cost:</t>
  </si>
  <si>
    <t xml:space="preserve">Activity 1.2: Exam grades</t>
  </si>
  <si>
    <t xml:space="preserve">The blue table (F8:G14) shows the school's grade boundaries. A mark of 68 gets a C because 68 is at least 55 but below 70.</t>
  </si>
  <si>
    <t xml:space="preserve">1. In cell C8, write a VLOOKUP function that finds Nino's grade. Use absolute references for the table ($F$8:$G$14).</t>
  </si>
  <si>
    <t xml:space="preserve">2. Replicate the function down to C13.</t>
  </si>
  <si>
    <t xml:space="preserve">3. In cell D8, write an IF function that shows Pass if the mark is 60 or more, and Fail if it is not. Replicate it down to D13.</t>
  </si>
  <si>
    <t>Name</t>
  </si>
  <si>
    <t>Mark</t>
  </si>
  <si>
    <t>Grade</t>
  </si>
  <si>
    <t xml:space="preserve">Pass or Fail</t>
  </si>
  <si>
    <t xml:space="preserve">Mark from</t>
  </si>
  <si>
    <t>Nino</t>
  </si>
  <si>
    <t>G</t>
  </si>
  <si>
    <t>Giorgi</t>
  </si>
  <si>
    <t>F</t>
  </si>
  <si>
    <t>Mariam</t>
  </si>
  <si>
    <t>E</t>
  </si>
  <si>
    <t>Luka</t>
  </si>
  <si>
    <t>D</t>
  </si>
  <si>
    <t>Ana</t>
  </si>
  <si>
    <t>C</t>
  </si>
  <si>
    <t>Saba</t>
  </si>
  <si>
    <t>B</t>
  </si>
  <si>
    <t>A</t>
  </si>
  <si>
    <t xml:space="preserve">The spreadsheet is right: the pass mark (60) sits inside the C band (55-69). The rule, not the formula, causes it.</t>
  </si>
  <si>
    <t xml:space="preserve">Activity 1.3: Countries and capital cities</t>
  </si>
  <si>
    <t xml:space="preserve">Step 1. The table in A13:B42 is NOT in order. Select ALL of A13:B42 (both columns!) and sort it A to Z by Country.</t>
  </si>
  <si>
    <t xml:space="preserve">Step 2. In cell B7, create a drop-down list of all the countries in A13:A42.</t>
  </si>
  <si>
    <t xml:space="preserve">Step 3. In cell B9, write a VLOOKUP function that shows the capital city of the country chosen in B7.</t>
  </si>
  <si>
    <t xml:space="preserve">Step 4. Test it with Georgia, Japan and Peru. Are the capitals right?</t>
  </si>
  <si>
    <t>Country:</t>
  </si>
  <si>
    <t>Georgia</t>
  </si>
  <si>
    <t xml:space="preserve">Capital city:</t>
  </si>
  <si>
    <t>Country</t>
  </si>
  <si>
    <t xml:space="preserve">Capital city</t>
  </si>
  <si>
    <t>Argentina</t>
  </si>
  <si>
    <t xml:space="preserve">Buenos Aires</t>
  </si>
  <si>
    <t>Armenia</t>
  </si>
  <si>
    <t>Yerevan</t>
  </si>
  <si>
    <t>Australia</t>
  </si>
  <si>
    <t>Canberra</t>
  </si>
  <si>
    <t>Azerbaijan</t>
  </si>
  <si>
    <t>Baku</t>
  </si>
  <si>
    <t>Brazil</t>
  </si>
  <si>
    <t>Brasília</t>
  </si>
  <si>
    <t>Canada</t>
  </si>
  <si>
    <t>Ottawa</t>
  </si>
  <si>
    <t>China</t>
  </si>
  <si>
    <t>Beijing</t>
  </si>
  <si>
    <t>Egypt</t>
  </si>
  <si>
    <t>Cairo</t>
  </si>
  <si>
    <t>France</t>
  </si>
  <si>
    <t>Paris</t>
  </si>
  <si>
    <t>Tbilisi</t>
  </si>
  <si>
    <t>Germany</t>
  </si>
  <si>
    <t>Berlin</t>
  </si>
  <si>
    <t>Greece</t>
  </si>
  <si>
    <t>Athens</t>
  </si>
  <si>
    <t>India</t>
  </si>
  <si>
    <t xml:space="preserve">New Delhi</t>
  </si>
  <si>
    <t>Italy</t>
  </si>
  <si>
    <t>Rome</t>
  </si>
  <si>
    <t>Japan</t>
  </si>
  <si>
    <t>Tokyo</t>
  </si>
  <si>
    <t>Kazakhstan</t>
  </si>
  <si>
    <t>Astana</t>
  </si>
  <si>
    <t>Kenya</t>
  </si>
  <si>
    <t>Nairobi</t>
  </si>
  <si>
    <t>Mexico</t>
  </si>
  <si>
    <t xml:space="preserve">Mexico City</t>
  </si>
  <si>
    <t>Nigeria</t>
  </si>
  <si>
    <t>Abuja</t>
  </si>
  <si>
    <t>Norway</t>
  </si>
  <si>
    <t>Oslo</t>
  </si>
  <si>
    <t>Peru</t>
  </si>
  <si>
    <t>Lima</t>
  </si>
  <si>
    <t>Poland</t>
  </si>
  <si>
    <t>Warsaw</t>
  </si>
  <si>
    <t>Portugal</t>
  </si>
  <si>
    <t>Lisbon</t>
  </si>
  <si>
    <t xml:space="preserve">South Korea</t>
  </si>
  <si>
    <t>Seoul</t>
  </si>
  <si>
    <t>Spain</t>
  </si>
  <si>
    <t>Madrid</t>
  </si>
  <si>
    <t>Switzerland</t>
  </si>
  <si>
    <t>Bern</t>
  </si>
  <si>
    <t>Turkey</t>
  </si>
  <si>
    <t>Ankara</t>
  </si>
  <si>
    <t>Ukraine</t>
  </si>
  <si>
    <t>Kyiv</t>
  </si>
  <si>
    <t xml:space="preserve">United Kingdom</t>
  </si>
  <si>
    <t>London</t>
  </si>
  <si>
    <t xml:space="preserve">United States</t>
  </si>
  <si>
    <t xml:space="preserve">Washington, D.C.</t>
  </si>
  <si>
    <t xml:space="preserve">Activity 1.4: Cars</t>
  </si>
  <si>
    <t xml:space="preserve">A car dealer adds a tax to every car. The tax depends on how much CO2 the car produces.</t>
  </si>
  <si>
    <t xml:space="preserve">1. Format the prices in column B, and columns F and G, as currency.</t>
  </si>
  <si>
    <t xml:space="preserve">2. In D16, write a VLOOKUP that uses the CO2 value in C16 and the table in A28:B31 to show the fuel economy. Replicate down to D23.</t>
  </si>
  <si>
    <t xml:space="preserve">3. The table in A35:B38 is not in order. Sort it A to Z by fuel economy (select BOTH columns).</t>
  </si>
  <si>
    <t xml:space="preserve">4. In E16, write a VLOOKUP that uses D16 and the table in A35:B38 to show the tax rate. Replicate down to E23.</t>
  </si>
  <si>
    <t xml:space="preserve">5. In F16, calculate the tax (price x tax rate). In G16, calculate the total price (price + tax). Replicate both.</t>
  </si>
  <si>
    <t xml:space="preserve">6. In H16, write an IF that shows Yes if the total price is below 30,000 and No if not. Replicate down to H23.</t>
  </si>
  <si>
    <t xml:space="preserve">Remember: use absolute references for the lookup tables so they do not move when you replicate.</t>
  </si>
  <si>
    <t>Car</t>
  </si>
  <si>
    <t xml:space="preserve">CO2 (g/km)</t>
  </si>
  <si>
    <t xml:space="preserve">Fuel economy</t>
  </si>
  <si>
    <t xml:space="preserve">Tax rate</t>
  </si>
  <si>
    <t>Tax</t>
  </si>
  <si>
    <t xml:space="preserve">Total price</t>
  </si>
  <si>
    <t xml:space="preserve">Under 30,000?</t>
  </si>
  <si>
    <t xml:space="preserve">City Hatch</t>
  </si>
  <si>
    <t xml:space="preserve">Family Saloon</t>
  </si>
  <si>
    <t xml:space="preserve">Electric Mini</t>
  </si>
  <si>
    <t xml:space="preserve">Hybrid SUV</t>
  </si>
  <si>
    <t xml:space="preserve">Sports Coupe</t>
  </si>
  <si>
    <t xml:space="preserve">Pickup Truck</t>
  </si>
  <si>
    <t>Seven-seater</t>
  </si>
  <si>
    <t xml:space="preserve">Compact SUV</t>
  </si>
  <si>
    <t xml:space="preserve">CO2 from (g/km)</t>
  </si>
  <si>
    <t>Excellent</t>
  </si>
  <si>
    <t>Good</t>
  </si>
  <si>
    <t>Average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</si>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</sst>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&quot; ₾&quot;"/>
  </numFmts>
  <fonts count="6">
    <font>
      <sz val="11.000000"/>
      <color theme="1"/>
      <name val="Calibri"/>
      <scheme val="minor"/>
    </font>
    <font>
      <b/>
      <sz val="14.000000"/>
      <color rgb="FF1F3864"/>
    </font>
    <font>
      <b/>
      <sz val="11.000000"/>
    </font>
    <font>
      <sz val="11.000000"/>
    </font>
    <font>
      <b/>
      <color indexed="65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2" borderId="1" numFmtId="0" xfId="0" applyFont="1" applyFill="1" applyBorder="1" quotePrefix="0" pivotButton="0"/>
    <xf fontId="5" fillId="0" borderId="0" numFmtId="0" xfId="0" applyFont="1" quotePrefix="0" pivotButton="0"/>
    <xf fontId="0" fillId="3" borderId="1" numFmtId="0" xfId="0" applyFill="1" applyBorder="1" quotePrefix="0" pivotButton="0"/>
    <xf fontId="0" fillId="4" borderId="1" numFmtId="0" xfId="0" applyFill="1" applyBorder="1" quotePrefix="0" pivotButton="0"/>
    <xf fontId="0" fillId="4" borderId="1" numFmtId="164" xfId="0" applyNumberFormat="1" applyFill="1" applyBorder="1" quotePrefix="0" pivotButton="0"/>
    <xf fontId="0" fillId="3" borderId="1" numFmtId="164" xfId="0" applyNumberFormat="1" applyFill="1" applyBorder="1" quotePrefix="0" pivotButton="0"/>
    <xf fontId="0" fillId="3" borderId="1" numFmtId="0" xfId="0" applyFill="1" applyBorder="1" quotePrefix="0" pivotButton="0"/>
    <xf fontId="0" fillId="0" borderId="1" numFmtId="0" xfId="0" applyBorder="1" quotePrefix="0" pivotButton="0"/>
    <xf fontId="0" fillId="0" borderId="1" numFmtId="164" xfId="0" applyNumberFormat="1" applyBorder="1" quotePrefix="0" pivotButton="0"/>
    <xf fontId="0" fillId="3" borderId="1" numFmtId="9" xfId="0" applyNumberFormat="1" applyFill="1" applyBorder="1" quotePrefix="0" pivotButton="0"/>
    <xf fontId="0" fillId="4" borderId="1" numFmtId="9" xfId="0" applyNumberFormat="1" applyFill="1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" width="16"/>
    <col customWidth="1" min="3" max="3" width="12"/>
    <col customWidth="1" min="5" max="5" width="14"/>
    <col customWidth="1" min="6" max="6" width="10"/>
  </cols>
  <sheetData>
    <row r="1" ht="18.75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2" t="s">
        <v>5</v>
      </c>
    </row>
    <row r="8">
      <c r="A8" s="3" t="s">
        <v>6</v>
      </c>
      <c r="E8" s="4" t="s">
        <v>7</v>
      </c>
      <c r="F8" s="4" t="s">
        <v>8</v>
      </c>
    </row>
    <row r="9">
      <c r="A9" s="5" t="s">
        <v>9</v>
      </c>
      <c r="B9" s="6" t="s">
        <v>10</v>
      </c>
      <c r="E9" s="7" t="s">
        <v>11</v>
      </c>
      <c r="F9" s="8">
        <v>0.80000000000000004</v>
      </c>
    </row>
    <row r="10">
      <c r="E10" s="7" t="s">
        <v>12</v>
      </c>
      <c r="F10" s="8">
        <v>2.5</v>
      </c>
    </row>
    <row r="11">
      <c r="B11" s="5" t="s">
        <v>13</v>
      </c>
      <c r="C11" s="9">
        <f>VLOOKUP(B9,$E$9:$F$14,2)</f>
        <v>3</v>
      </c>
      <c r="E11" s="7" t="s">
        <v>10</v>
      </c>
      <c r="F11" s="8">
        <v>3</v>
      </c>
    </row>
    <row r="12">
      <c r="E12" s="7" t="s">
        <v>14</v>
      </c>
      <c r="F12" s="8">
        <v>1.2</v>
      </c>
    </row>
    <row r="13">
      <c r="A13" t="s">
        <v>15</v>
      </c>
      <c r="B13" s="10">
        <v>4</v>
      </c>
      <c r="E13" s="7" t="s">
        <v>16</v>
      </c>
      <c r="F13" s="8">
        <v>0.5</v>
      </c>
    </row>
    <row r="14">
      <c r="E14" s="7" t="s">
        <v>17</v>
      </c>
      <c r="F14" s="8">
        <v>1.5</v>
      </c>
    </row>
    <row r="15">
      <c r="B15" s="5" t="s">
        <v>18</v>
      </c>
      <c r="C15" s="9">
        <f>C11*B13</f>
        <v>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E006E-00C0-43F4-A803-008B00940079}" type="list" allowBlank="1" errorStyle="stop" imeMode="noControl" operator="between" showDropDown="0" showErrorMessage="0" showInputMessage="0">
          <x14:formula1>
            <xm:f>=$E$9:$E$14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3" width="8"/>
    <col customWidth="1" min="4" max="4" width="12"/>
    <col customWidth="1" min="5" max="5" width="3"/>
    <col customWidth="1" min="6" max="6" width="11"/>
    <col customWidth="1" min="7" max="7" width="8"/>
  </cols>
  <sheetData>
    <row r="1">
      <c r="A1" s="1" t="s">
        <v>19</v>
      </c>
    </row>
    <row r="3">
      <c r="A3" s="3" t="s">
        <v>20</v>
      </c>
    </row>
    <row r="4">
      <c r="A4" s="3" t="s">
        <v>21</v>
      </c>
    </row>
    <row r="5">
      <c r="A5" s="3" t="s">
        <v>22</v>
      </c>
    </row>
    <row r="6">
      <c r="A6" s="3" t="s">
        <v>23</v>
      </c>
    </row>
    <row r="7">
      <c r="A7" s="4" t="s">
        <v>24</v>
      </c>
      <c r="B7" s="4" t="s">
        <v>25</v>
      </c>
      <c r="C7" s="4" t="s">
        <v>26</v>
      </c>
      <c r="D7" s="4" t="s">
        <v>27</v>
      </c>
      <c r="F7" s="4" t="s">
        <v>28</v>
      </c>
      <c r="G7" s="4" t="s">
        <v>26</v>
      </c>
    </row>
    <row r="8">
      <c r="A8" s="11" t="s">
        <v>29</v>
      </c>
      <c r="B8" s="11">
        <v>68</v>
      </c>
      <c r="C8" s="10" t="str">
        <f t="shared" ref="C8:C9" si="0">VLOOKUP(B8,$F$8:$G$14,2)</f>
        <v>C</v>
      </c>
      <c r="D8" s="10" t="str">
        <f t="shared" ref="D8:D9" si="1">IF(B8&gt;=60,"Pass","Fail")</f>
        <v>Pass</v>
      </c>
      <c r="F8" s="7">
        <v>0</v>
      </c>
      <c r="G8" s="7" t="s">
        <v>30</v>
      </c>
    </row>
    <row r="9">
      <c r="A9" s="11" t="s">
        <v>31</v>
      </c>
      <c r="B9" s="11">
        <v>91</v>
      </c>
      <c r="C9" s="10" t="str">
        <f t="shared" si="0"/>
        <v>A</v>
      </c>
      <c r="D9" s="10" t="str">
        <f t="shared" si="1"/>
        <v>Pass</v>
      </c>
      <c r="F9" s="7">
        <v>10</v>
      </c>
      <c r="G9" s="7" t="s">
        <v>32</v>
      </c>
    </row>
    <row r="10">
      <c r="A10" s="11" t="s">
        <v>33</v>
      </c>
      <c r="B10" s="11">
        <v>47</v>
      </c>
      <c r="C10" s="10" t="str">
        <f t="shared" ref="C10:C13" si="2">VLOOKUP(B10,$F$8:$G$14,2)</f>
        <v>D</v>
      </c>
      <c r="D10" s="10" t="str">
        <f t="shared" ref="D10:D13" si="3">IF(B10&gt;=60,"Pass","Fail")</f>
        <v>Fail</v>
      </c>
      <c r="F10" s="7">
        <v>25</v>
      </c>
      <c r="G10" s="7" t="s">
        <v>34</v>
      </c>
    </row>
    <row r="11">
      <c r="A11" s="11" t="s">
        <v>35</v>
      </c>
      <c r="B11" s="11">
        <v>59</v>
      </c>
      <c r="C11" s="10" t="str">
        <f t="shared" si="2"/>
        <v>C</v>
      </c>
      <c r="D11" s="10" t="str">
        <f t="shared" si="3"/>
        <v>Fail</v>
      </c>
      <c r="F11" s="7">
        <v>40</v>
      </c>
      <c r="G11" s="7" t="s">
        <v>36</v>
      </c>
    </row>
    <row r="12">
      <c r="A12" s="11" t="s">
        <v>37</v>
      </c>
      <c r="B12" s="11">
        <v>23</v>
      </c>
      <c r="C12" s="10" t="str">
        <f t="shared" si="2"/>
        <v>F</v>
      </c>
      <c r="D12" s="10" t="str">
        <f t="shared" si="3"/>
        <v>Fail</v>
      </c>
      <c r="F12" s="7">
        <v>55</v>
      </c>
      <c r="G12" s="7" t="s">
        <v>38</v>
      </c>
    </row>
    <row r="13">
      <c r="A13" s="11" t="s">
        <v>39</v>
      </c>
      <c r="B13" s="11">
        <v>85</v>
      </c>
      <c r="C13" s="10" t="str">
        <f t="shared" si="2"/>
        <v>A</v>
      </c>
      <c r="D13" s="10" t="str">
        <f t="shared" si="3"/>
        <v>Pass</v>
      </c>
      <c r="F13" s="7">
        <v>70</v>
      </c>
      <c r="G13" s="7" t="s">
        <v>40</v>
      </c>
    </row>
    <row r="14">
      <c r="F14" s="7">
        <v>85</v>
      </c>
      <c r="G14" s="7" t="s">
        <v>41</v>
      </c>
    </row>
    <row r="16">
      <c r="A16" t="s">
        <v>42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6"/>
    <col customWidth="1" min="2" max="2" width="18"/>
  </cols>
  <sheetData>
    <row r="1">
      <c r="A1" s="1" t="s">
        <v>43</v>
      </c>
    </row>
    <row r="3">
      <c r="A3" s="2" t="s">
        <v>44</v>
      </c>
    </row>
    <row r="4">
      <c r="A4" s="2" t="s">
        <v>45</v>
      </c>
    </row>
    <row r="5">
      <c r="A5" s="2" t="s">
        <v>46</v>
      </c>
    </row>
    <row r="6">
      <c r="A6" s="2" t="s">
        <v>47</v>
      </c>
    </row>
    <row r="7">
      <c r="A7" s="5" t="s">
        <v>48</v>
      </c>
      <c r="B7" s="10" t="s">
        <v>49</v>
      </c>
    </row>
    <row r="9">
      <c r="A9" s="5" t="s">
        <v>50</v>
      </c>
      <c r="B9" s="10" t="str">
        <f>VLOOKUP(B7,$A$13:$B$42,2)</f>
        <v>Tbilisi</v>
      </c>
    </row>
    <row r="12">
      <c r="A12" s="4" t="s">
        <v>51</v>
      </c>
      <c r="B12" s="4" t="s">
        <v>52</v>
      </c>
    </row>
    <row r="13">
      <c r="A13" s="7" t="s">
        <v>53</v>
      </c>
      <c r="B13" s="7" t="s">
        <v>54</v>
      </c>
    </row>
    <row r="14">
      <c r="A14" s="7" t="s">
        <v>55</v>
      </c>
      <c r="B14" s="7" t="s">
        <v>56</v>
      </c>
    </row>
    <row r="15">
      <c r="A15" s="7" t="s">
        <v>57</v>
      </c>
      <c r="B15" s="7" t="s">
        <v>58</v>
      </c>
    </row>
    <row r="16">
      <c r="A16" s="7" t="s">
        <v>59</v>
      </c>
      <c r="B16" s="7" t="s">
        <v>60</v>
      </c>
    </row>
    <row r="17">
      <c r="A17" s="7" t="s">
        <v>61</v>
      </c>
      <c r="B17" s="7" t="s">
        <v>62</v>
      </c>
    </row>
    <row r="18">
      <c r="A18" s="7" t="s">
        <v>63</v>
      </c>
      <c r="B18" s="7" t="s">
        <v>64</v>
      </c>
    </row>
    <row r="19">
      <c r="A19" s="7" t="s">
        <v>65</v>
      </c>
      <c r="B19" s="7" t="s">
        <v>66</v>
      </c>
    </row>
    <row r="20">
      <c r="A20" s="7" t="s">
        <v>67</v>
      </c>
      <c r="B20" s="7" t="s">
        <v>68</v>
      </c>
    </row>
    <row r="21">
      <c r="A21" s="7" t="s">
        <v>69</v>
      </c>
      <c r="B21" s="7" t="s">
        <v>70</v>
      </c>
    </row>
    <row r="22">
      <c r="A22" s="7" t="s">
        <v>49</v>
      </c>
      <c r="B22" s="7" t="s">
        <v>71</v>
      </c>
    </row>
    <row r="23">
      <c r="A23" s="7" t="s">
        <v>72</v>
      </c>
      <c r="B23" s="7" t="s">
        <v>73</v>
      </c>
    </row>
    <row r="24">
      <c r="A24" s="7" t="s">
        <v>74</v>
      </c>
      <c r="B24" s="7" t="s">
        <v>75</v>
      </c>
    </row>
    <row r="25">
      <c r="A25" s="7" t="s">
        <v>76</v>
      </c>
      <c r="B25" s="7" t="s">
        <v>77</v>
      </c>
    </row>
    <row r="26">
      <c r="A26" s="7" t="s">
        <v>78</v>
      </c>
      <c r="B26" s="7" t="s">
        <v>79</v>
      </c>
    </row>
    <row r="27">
      <c r="A27" s="7" t="s">
        <v>80</v>
      </c>
      <c r="B27" s="7" t="s">
        <v>81</v>
      </c>
    </row>
    <row r="28">
      <c r="A28" s="7" t="s">
        <v>82</v>
      </c>
      <c r="B28" s="7" t="s">
        <v>83</v>
      </c>
    </row>
    <row r="29">
      <c r="A29" s="7" t="s">
        <v>84</v>
      </c>
      <c r="B29" s="7" t="s">
        <v>85</v>
      </c>
    </row>
    <row r="30">
      <c r="A30" s="7" t="s">
        <v>86</v>
      </c>
      <c r="B30" s="7" t="s">
        <v>87</v>
      </c>
    </row>
    <row r="31">
      <c r="A31" s="7" t="s">
        <v>88</v>
      </c>
      <c r="B31" s="7" t="s">
        <v>89</v>
      </c>
    </row>
    <row r="32">
      <c r="A32" s="7" t="s">
        <v>90</v>
      </c>
      <c r="B32" s="7" t="s">
        <v>91</v>
      </c>
    </row>
    <row r="33">
      <c r="A33" s="7" t="s">
        <v>92</v>
      </c>
      <c r="B33" s="7" t="s">
        <v>93</v>
      </c>
    </row>
    <row r="34">
      <c r="A34" s="7" t="s">
        <v>94</v>
      </c>
      <c r="B34" s="7" t="s">
        <v>95</v>
      </c>
    </row>
    <row r="35">
      <c r="A35" s="7" t="s">
        <v>96</v>
      </c>
      <c r="B35" s="7" t="s">
        <v>97</v>
      </c>
    </row>
    <row r="36">
      <c r="A36" s="7" t="s">
        <v>98</v>
      </c>
      <c r="B36" s="7" t="s">
        <v>99</v>
      </c>
    </row>
    <row r="37">
      <c r="A37" s="7" t="s">
        <v>100</v>
      </c>
      <c r="B37" s="7" t="s">
        <v>101</v>
      </c>
    </row>
    <row r="38">
      <c r="A38" s="7" t="s">
        <v>102</v>
      </c>
      <c r="B38" s="7" t="s">
        <v>103</v>
      </c>
    </row>
    <row r="39">
      <c r="A39" s="7" t="s">
        <v>104</v>
      </c>
      <c r="B39" s="7" t="s">
        <v>105</v>
      </c>
    </row>
    <row r="40">
      <c r="A40" s="7" t="s">
        <v>106</v>
      </c>
      <c r="B40" s="7" t="s">
        <v>107</v>
      </c>
    </row>
    <row r="41">
      <c r="A41" s="7" t="s">
        <v>108</v>
      </c>
      <c r="B41" s="7" t="s">
        <v>109</v>
      </c>
    </row>
    <row r="42">
      <c r="A42" s="7" t="s">
        <v>110</v>
      </c>
      <c r="B42" s="7" t="s">
        <v>111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D00A5-007A-4C64-A697-009C00140014}" type="list" allowBlank="1" errorStyle="stop" imeMode="noControl" operator="between" showDropDown="0" showErrorMessage="0" showInputMessage="0">
          <x14:formula1>
            <xm:f>=$A$13:$A$42</xm:f>
          </x14:formula1>
          <xm:sqref>B7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6"/>
    <col customWidth="1" min="2" max="2" width="12"/>
    <col customWidth="1" min="3" max="3" width="11"/>
    <col customWidth="1" min="4" max="4" width="13"/>
    <col customWidth="1" min="5" max="5" width="9"/>
    <col customWidth="1" min="6" max="6" width="11"/>
    <col customWidth="1" min="7" max="8" width="13"/>
  </cols>
  <sheetData>
    <row r="1">
      <c r="A1" s="1" t="s">
        <v>112</v>
      </c>
    </row>
    <row r="3">
      <c r="A3" s="3" t="s">
        <v>113</v>
      </c>
    </row>
    <row r="4">
      <c r="A4" s="3" t="s">
        <v>114</v>
      </c>
    </row>
    <row r="5">
      <c r="A5" s="3" t="s">
        <v>115</v>
      </c>
    </row>
    <row r="6">
      <c r="A6" s="3" t="s">
        <v>116</v>
      </c>
    </row>
    <row r="7">
      <c r="A7" s="3" t="s">
        <v>117</v>
      </c>
    </row>
    <row r="8">
      <c r="A8" s="3" t="s">
        <v>118</v>
      </c>
    </row>
    <row r="9">
      <c r="A9" s="3" t="s">
        <v>119</v>
      </c>
    </row>
    <row r="10">
      <c r="A10" s="3" t="s">
        <v>120</v>
      </c>
    </row>
    <row r="15">
      <c r="A15" s="4" t="s">
        <v>121</v>
      </c>
      <c r="B15" s="4" t="s">
        <v>8</v>
      </c>
      <c r="C15" s="4" t="s">
        <v>122</v>
      </c>
      <c r="D15" s="4" t="s">
        <v>123</v>
      </c>
      <c r="E15" s="4" t="s">
        <v>124</v>
      </c>
      <c r="F15" s="4" t="s">
        <v>125</v>
      </c>
      <c r="G15" s="4" t="s">
        <v>126</v>
      </c>
      <c r="H15" s="4" t="s">
        <v>127</v>
      </c>
    </row>
    <row r="16">
      <c r="A16" s="11" t="s">
        <v>128</v>
      </c>
      <c r="B16" s="12">
        <v>24500</v>
      </c>
      <c r="C16" s="11">
        <v>118</v>
      </c>
      <c r="D16" s="10" t="str">
        <f t="shared" ref="D16:D23" si="4">VLOOKUP(C16,$A$28:$B$31,2)</f>
        <v>Good</v>
      </c>
      <c r="E16" s="13">
        <f t="shared" ref="E16:E23" si="5">VLOOKUP(D16,$A$35:$B$38,2)</f>
        <v>5.0000000000000003e-002</v>
      </c>
      <c r="F16" s="9">
        <f t="shared" ref="F16:F23" si="6">B16*E16</f>
        <v>1225</v>
      </c>
      <c r="G16" s="9">
        <f t="shared" ref="G16:G23" si="7">B16+F16</f>
        <v>25725</v>
      </c>
      <c r="H16" s="10" t="str">
        <f t="shared" ref="H16:H23" si="8">IF(G16&lt;30000,"Yes","No")</f>
        <v>Yes</v>
      </c>
    </row>
    <row r="17">
      <c r="A17" s="11" t="s">
        <v>129</v>
      </c>
      <c r="B17" s="12">
        <v>31000</v>
      </c>
      <c r="C17" s="11">
        <v>135</v>
      </c>
      <c r="D17" s="10" t="str">
        <f t="shared" si="4"/>
        <v>Good</v>
      </c>
      <c r="E17" s="13">
        <f t="shared" si="5"/>
        <v>5.0000000000000003e-002</v>
      </c>
      <c r="F17" s="9">
        <f t="shared" si="6"/>
        <v>1550</v>
      </c>
      <c r="G17" s="9">
        <f t="shared" si="7"/>
        <v>32550</v>
      </c>
      <c r="H17" s="10" t="str">
        <f t="shared" si="8"/>
        <v>No</v>
      </c>
    </row>
    <row r="18">
      <c r="A18" s="11" t="s">
        <v>130</v>
      </c>
      <c r="B18" s="12">
        <v>38900</v>
      </c>
      <c r="C18" s="11">
        <v>0</v>
      </c>
      <c r="D18" s="10" t="str">
        <f t="shared" si="4"/>
        <v>Excellent</v>
      </c>
      <c r="E18" s="13">
        <f t="shared" si="5"/>
        <v>0</v>
      </c>
      <c r="F18" s="9">
        <f t="shared" si="6"/>
        <v>0</v>
      </c>
      <c r="G18" s="9">
        <f t="shared" si="7"/>
        <v>38900</v>
      </c>
      <c r="H18" s="10" t="str">
        <f t="shared" si="8"/>
        <v>No</v>
      </c>
    </row>
    <row r="19">
      <c r="A19" s="11" t="s">
        <v>131</v>
      </c>
      <c r="B19" s="12">
        <v>52000</v>
      </c>
      <c r="C19" s="11">
        <v>95</v>
      </c>
      <c r="D19" s="10" t="str">
        <f t="shared" si="4"/>
        <v>Excellent</v>
      </c>
      <c r="E19" s="13">
        <f t="shared" si="5"/>
        <v>0</v>
      </c>
      <c r="F19" s="9">
        <f t="shared" si="6"/>
        <v>0</v>
      </c>
      <c r="G19" s="9">
        <f t="shared" si="7"/>
        <v>52000</v>
      </c>
      <c r="H19" s="10" t="str">
        <f t="shared" si="8"/>
        <v>No</v>
      </c>
    </row>
    <row r="20">
      <c r="A20" s="11" t="s">
        <v>132</v>
      </c>
      <c r="B20" s="12">
        <v>74000</v>
      </c>
      <c r="C20" s="11">
        <v>210</v>
      </c>
      <c r="D20" s="10" t="str">
        <f t="shared" si="4"/>
        <v>Poor</v>
      </c>
      <c r="E20" s="13">
        <f t="shared" si="5"/>
        <v>0.14999999999999999</v>
      </c>
      <c r="F20" s="9">
        <f t="shared" si="6"/>
        <v>11100</v>
      </c>
      <c r="G20" s="9">
        <f t="shared" si="7"/>
        <v>85100</v>
      </c>
      <c r="H20" s="10" t="str">
        <f t="shared" si="8"/>
        <v>No</v>
      </c>
    </row>
    <row r="21">
      <c r="A21" s="11" t="s">
        <v>133</v>
      </c>
      <c r="B21" s="12">
        <v>61500</v>
      </c>
      <c r="C21" s="11">
        <v>245</v>
      </c>
      <c r="D21" s="10" t="str">
        <f t="shared" si="4"/>
        <v>Poor</v>
      </c>
      <c r="E21" s="13">
        <f t="shared" si="5"/>
        <v>0.14999999999999999</v>
      </c>
      <c r="F21" s="9">
        <f t="shared" si="6"/>
        <v>9225</v>
      </c>
      <c r="G21" s="9">
        <f t="shared" si="7"/>
        <v>70725</v>
      </c>
      <c r="H21" s="10" t="str">
        <f t="shared" si="8"/>
        <v>No</v>
      </c>
    </row>
    <row r="22">
      <c r="A22" s="11" t="s">
        <v>134</v>
      </c>
      <c r="B22" s="12">
        <v>45800</v>
      </c>
      <c r="C22" s="11">
        <v>172</v>
      </c>
      <c r="D22" s="10" t="str">
        <f t="shared" si="4"/>
        <v>Average</v>
      </c>
      <c r="E22" s="13">
        <f t="shared" si="5"/>
        <v>0.10000000000000001</v>
      </c>
      <c r="F22" s="9">
        <f t="shared" si="6"/>
        <v>4580</v>
      </c>
      <c r="G22" s="9">
        <f t="shared" si="7"/>
        <v>50380</v>
      </c>
      <c r="H22" s="10" t="str">
        <f t="shared" si="8"/>
        <v>No</v>
      </c>
    </row>
    <row r="23">
      <c r="A23" s="11" t="s">
        <v>135</v>
      </c>
      <c r="B23" s="12">
        <v>28900</v>
      </c>
      <c r="C23" s="11">
        <v>149</v>
      </c>
      <c r="D23" s="10" t="str">
        <f t="shared" si="4"/>
        <v>Good</v>
      </c>
      <c r="E23" s="13">
        <f t="shared" si="5"/>
        <v>5.0000000000000003e-002</v>
      </c>
      <c r="F23" s="9">
        <f t="shared" si="6"/>
        <v>1445</v>
      </c>
      <c r="G23" s="9">
        <f t="shared" si="7"/>
        <v>30345</v>
      </c>
      <c r="H23" s="10" t="str">
        <f t="shared" si="8"/>
        <v>No</v>
      </c>
    </row>
    <row r="27">
      <c r="A27" s="4" t="s">
        <v>136</v>
      </c>
      <c r="B27" s="4" t="s">
        <v>123</v>
      </c>
    </row>
    <row r="28">
      <c r="A28" s="7">
        <v>0</v>
      </c>
      <c r="B28" s="7" t="s">
        <v>137</v>
      </c>
    </row>
    <row r="29">
      <c r="A29" s="7">
        <v>100</v>
      </c>
      <c r="B29" s="7" t="s">
        <v>138</v>
      </c>
    </row>
    <row r="30">
      <c r="A30" s="7">
        <v>150</v>
      </c>
      <c r="B30" s="7" t="s">
        <v>139</v>
      </c>
    </row>
    <row r="31">
      <c r="A31" s="7">
        <v>200</v>
      </c>
      <c r="B31" s="7" t="s">
        <v>140</v>
      </c>
    </row>
    <row r="34">
      <c r="A34" s="4" t="s">
        <v>123</v>
      </c>
      <c r="B34" s="4" t="s">
        <v>124</v>
      </c>
    </row>
    <row r="35">
      <c r="A35" s="7" t="s">
        <v>139</v>
      </c>
      <c r="B35" s="14">
        <v>0.10000000000000001</v>
      </c>
    </row>
    <row r="36">
      <c r="A36" s="7" t="s">
        <v>137</v>
      </c>
      <c r="B36" s="14">
        <v>0</v>
      </c>
    </row>
    <row r="37">
      <c r="A37" s="7" t="s">
        <v>138</v>
      </c>
      <c r="B37" s="14">
        <v>5.0000000000000003e-002</v>
      </c>
    </row>
    <row r="38">
      <c r="A38" s="7" t="s">
        <v>140</v>
      </c>
      <c r="B38" s="14">
        <v>0.14999999999999999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2026-10-05T08:34:42Z</dcterms:created>
  <dcterms:modified xsi:type="dcterms:W3CDTF">2026-10-06T19:02:13Z</dcterms:modified>
</cp:coreProperties>
</file>