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-up" sheetId="1" state="visible" r:id="rId1"/>
    <sheet xmlns:r="http://schemas.openxmlformats.org/officeDocument/2006/relationships" name="Pizza star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₾&quot;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4" max="4"/>
    <col width="12" customWidth="1" min="5" max="5"/>
  </cols>
  <sheetData>
    <row r="1">
      <c r="A1" s="1" t="inlineStr">
        <is>
          <t>Warm-up: Countries I have visited (3 minutes)</t>
        </is>
      </c>
    </row>
    <row r="3">
      <c r="A3" t="inlineStr">
        <is>
          <t>1. Insert a check box in column B next to each country (Excel: Developer &gt; Insert &gt; Check Box. Google Sheets: Insert &gt; Checkbox).</t>
        </is>
      </c>
    </row>
    <row r="4">
      <c r="A4" t="inlineStr">
        <is>
          <t>2. Excel only: right-click each check box &gt; Format Control &gt; Cell link: the cell in column D on the same row.</t>
        </is>
      </c>
    </row>
    <row r="5">
      <c r="A5" s="2" t="inlineStr">
        <is>
          <t>Country</t>
        </is>
      </c>
      <c r="B5" s="2" t="inlineStr">
        <is>
          <t>Tick</t>
        </is>
      </c>
      <c r="D5" s="2" t="inlineStr">
        <is>
          <t>Linked cell</t>
        </is>
      </c>
      <c r="E5" s="2" t="inlineStr">
        <is>
          <t>Result</t>
        </is>
      </c>
    </row>
    <row r="6">
      <c r="A6" s="3" t="inlineStr">
        <is>
          <t>Turkey</t>
        </is>
      </c>
      <c r="B6" s="4" t="n"/>
      <c r="D6" s="4" t="b">
        <v>1</v>
      </c>
      <c r="E6" s="4">
        <f>IF(D6=TRUE,"Visited","Not yet")</f>
        <v/>
      </c>
    </row>
    <row r="8">
      <c r="A8" s="3" t="inlineStr">
        <is>
          <t>Armenia</t>
        </is>
      </c>
      <c r="B8" s="4" t="n"/>
      <c r="D8" s="4" t="b">
        <v>0</v>
      </c>
      <c r="E8" s="4">
        <f>IF(D8=TRUE,"Visited","Not yet")</f>
        <v/>
      </c>
    </row>
    <row r="10">
      <c r="A10" s="3" t="inlineStr">
        <is>
          <t>Italy</t>
        </is>
      </c>
      <c r="B10" s="4" t="n"/>
      <c r="D10" s="4" t="b">
        <v>1</v>
      </c>
      <c r="E10" s="4">
        <f>IF(D10=TRUE,"Visited","Not yet")</f>
        <v/>
      </c>
    </row>
    <row r="12">
      <c r="A12" s="3" t="inlineStr">
        <is>
          <t>Japan</t>
        </is>
      </c>
      <c r="B12" s="4" t="n"/>
      <c r="D12" s="4" t="b">
        <v>0</v>
      </c>
      <c r="E12" s="4">
        <f>IF(D12=TRUE,"Visited","Not yet")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2" customWidth="1" min="4" max="4"/>
    <col width="11" customWidth="1" min="5" max="5"/>
    <col width="2" customWidth="1" min="6" max="6"/>
    <col width="2" customWidth="1" min="7" max="7"/>
    <col width="2" customWidth="1" min="8" max="8"/>
    <col width="12" customWidth="1" min="9" max="9"/>
    <col width="10" customWidth="1" min="10" max="10"/>
    <col width="2" customWidth="1" min="11" max="11"/>
    <col width="2" customWidth="1" min="12" max="12"/>
    <col width="9" customWidth="1" min="13" max="13"/>
  </cols>
  <sheetData>
    <row r="1">
      <c r="A1" s="1" t="inlineStr">
        <is>
          <t>Activity 2.1: Pizza orders — STARTER (support version)</t>
        </is>
      </c>
    </row>
    <row r="3">
      <c r="A3" t="inlineStr">
        <is>
          <t>The toppings, prices, sizes and delivery options are already typed in for you. You still build everything that makes it work:</t>
        </is>
      </c>
    </row>
    <row r="4">
      <c r="A4" t="inlineStr">
        <is>
          <t>Part 1: insert a check box in column B next to each topping, and link each one to column M on the same row (Excel).</t>
        </is>
      </c>
    </row>
    <row r="5">
      <c r="A5" t="inlineStr">
        <is>
          <t>Part 2: column E — an IF for each topping that shows its price if ticked (e.g. =IF(M10=TRUE,J10,0)); E20 — SUM of the toppings;</t>
        </is>
      </c>
    </row>
    <row r="6">
      <c r="A6" t="inlineStr">
        <is>
          <t>B23 — drop-down of sizes (I23:I25); E23 — VLOOKUP for the base price; B27 — drop-down Collect/Deliver (I27:I28);</t>
        </is>
      </c>
    </row>
    <row r="7">
      <c r="A7" t="inlineStr">
        <is>
          <t>E27 — IF that shows the delivery charge only if Deliver is chosen; E30 — total cost of toppings + base + delivery.</t>
        </is>
      </c>
    </row>
    <row r="9">
      <c r="I9" s="2" t="inlineStr">
        <is>
          <t>Topping</t>
        </is>
      </c>
      <c r="J9" s="2" t="inlineStr">
        <is>
          <t>Price</t>
        </is>
      </c>
      <c r="M9" s="2" t="inlineStr">
        <is>
          <t>Linked</t>
        </is>
      </c>
    </row>
    <row r="10">
      <c r="A10" s="5" t="inlineStr">
        <is>
          <t>Toppings</t>
        </is>
      </c>
      <c r="B10" s="6" t="n"/>
      <c r="C10" t="inlineStr">
        <is>
          <t>Cheese</t>
        </is>
      </c>
      <c r="E10" s="7">
        <f>IF(M10=TRUE,J10,0)</f>
        <v/>
      </c>
      <c r="I10" s="8" t="inlineStr">
        <is>
          <t>Cheese</t>
        </is>
      </c>
      <c r="J10" s="9" t="n">
        <v>2</v>
      </c>
      <c r="M10" s="6" t="b">
        <v>1</v>
      </c>
    </row>
    <row r="12">
      <c r="B12" s="6" t="n"/>
      <c r="C12" t="inlineStr">
        <is>
          <t>Mushrooms</t>
        </is>
      </c>
      <c r="E12" s="7">
        <f>IF(M12=TRUE,J12,0)</f>
        <v/>
      </c>
      <c r="I12" s="8" t="inlineStr">
        <is>
          <t>Mushrooms</t>
        </is>
      </c>
      <c r="J12" s="9" t="n">
        <v>2.5</v>
      </c>
      <c r="M12" s="6" t="b">
        <v>0</v>
      </c>
    </row>
    <row r="14">
      <c r="B14" s="6" t="n"/>
      <c r="C14" t="inlineStr">
        <is>
          <t>Chicken</t>
        </is>
      </c>
      <c r="E14" s="7">
        <f>IF(M14=TRUE,J14,0)</f>
        <v/>
      </c>
      <c r="I14" s="8" t="inlineStr">
        <is>
          <t>Chicken</t>
        </is>
      </c>
      <c r="J14" s="9" t="n">
        <v>4</v>
      </c>
      <c r="M14" s="6" t="b">
        <v>1</v>
      </c>
    </row>
    <row r="16">
      <c r="B16" s="6" t="n"/>
      <c r="C16" t="inlineStr">
        <is>
          <t>Olives</t>
        </is>
      </c>
      <c r="E16" s="7">
        <f>IF(M16=TRUE,J16,0)</f>
        <v/>
      </c>
      <c r="I16" s="8" t="inlineStr">
        <is>
          <t>Olives</t>
        </is>
      </c>
      <c r="J16" s="9" t="n">
        <v>1.5</v>
      </c>
      <c r="M16" s="6" t="b">
        <v>0</v>
      </c>
    </row>
    <row r="18">
      <c r="B18" s="6" t="n"/>
      <c r="C18" t="inlineStr">
        <is>
          <t>Pepperoni</t>
        </is>
      </c>
      <c r="E18" s="7">
        <f>IF(M18=TRUE,J18,0)</f>
        <v/>
      </c>
      <c r="I18" s="8" t="inlineStr">
        <is>
          <t>Pepperoni</t>
        </is>
      </c>
      <c r="J18" s="9" t="n">
        <v>3.5</v>
      </c>
      <c r="M18" s="6" t="b">
        <v>0</v>
      </c>
    </row>
    <row r="20">
      <c r="C20" s="5" t="inlineStr">
        <is>
          <t>Cost of toppings</t>
        </is>
      </c>
      <c r="E20" s="7">
        <f>SUM(E10:E18)</f>
        <v/>
      </c>
    </row>
    <row r="22">
      <c r="I22" s="2" t="inlineStr">
        <is>
          <t>Size</t>
        </is>
      </c>
      <c r="J22" s="2" t="inlineStr">
        <is>
          <t>Price</t>
        </is>
      </c>
    </row>
    <row r="23">
      <c r="A23" s="5" t="inlineStr">
        <is>
          <t>Pizza size</t>
        </is>
      </c>
      <c r="B23" s="4" t="inlineStr">
        <is>
          <t>Medium</t>
        </is>
      </c>
      <c r="C23" s="5" t="inlineStr">
        <is>
          <t>Cost of pizza base</t>
        </is>
      </c>
      <c r="E23" s="10">
        <f>VLOOKUP(B23,$I$23:$J$25,2)</f>
        <v/>
      </c>
      <c r="I23" s="8" t="inlineStr">
        <is>
          <t>Large</t>
        </is>
      </c>
      <c r="J23" s="9" t="n">
        <v>24</v>
      </c>
    </row>
    <row r="24">
      <c r="I24" s="8" t="inlineStr">
        <is>
          <t>Medium</t>
        </is>
      </c>
      <c r="J24" s="9" t="n">
        <v>18</v>
      </c>
    </row>
    <row r="25">
      <c r="I25" s="8" t="inlineStr">
        <is>
          <t>Small</t>
        </is>
      </c>
      <c r="J25" s="9" t="n">
        <v>13</v>
      </c>
    </row>
    <row r="26">
      <c r="I26" s="2" t="inlineStr">
        <is>
          <t>Option</t>
        </is>
      </c>
      <c r="J26" s="2" t="inlineStr">
        <is>
          <t>Charge</t>
        </is>
      </c>
    </row>
    <row r="27">
      <c r="A27" s="5" t="inlineStr">
        <is>
          <t>Collect/Deliver</t>
        </is>
      </c>
      <c r="B27" s="4" t="inlineStr">
        <is>
          <t>Deliver</t>
        </is>
      </c>
      <c r="C27" s="5" t="inlineStr">
        <is>
          <t>Delivery charge</t>
        </is>
      </c>
      <c r="E27" s="10">
        <f>IF(B27="Deliver",J28,0)</f>
        <v/>
      </c>
      <c r="I27" s="8" t="inlineStr">
        <is>
          <t>Collect</t>
        </is>
      </c>
      <c r="J27" s="9" t="n">
        <v>0</v>
      </c>
    </row>
    <row r="28">
      <c r="I28" s="8" t="inlineStr">
        <is>
          <t>Deliver</t>
        </is>
      </c>
      <c r="J28" s="9" t="n">
        <v>3</v>
      </c>
    </row>
    <row r="30">
      <c r="C30" s="5" t="inlineStr">
        <is>
          <t>Total cost</t>
        </is>
      </c>
      <c r="E30" s="10">
        <f>E20+E23+E27</f>
        <v/>
      </c>
    </row>
  </sheetData>
  <dataValidations count="2">
    <dataValidation sqref="B23" showDropDown="0" showInputMessage="0" showErrorMessage="0" allowBlank="0" type="list">
      <formula1>=$I$23:$I$25</formula1>
    </dataValidation>
    <dataValidation sqref="B27" showDropDown="0" showInputMessage="0" showErrorMessage="0" allowBlank="0" type="list">
      <formula1>=$I$27:$I$28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2026-10-05T08:35:11Z</dcterms:created>
  <dcterms:modified xmlns:dcterms="http://purl.org/dc/terms/" xmlns:xsi="http://www.w3.org/2001/XMLSchema-instance" xsi:type="dcterms:W3CDTF">2026-10-05T08:35:11Z</dcterms:modified>
</cp:coreProperties>
</file>